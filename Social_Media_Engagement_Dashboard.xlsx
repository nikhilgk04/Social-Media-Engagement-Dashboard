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NIKHIL\Downloads\"/>
    </mc:Choice>
  </mc:AlternateContent>
  <xr:revisionPtr revIDLastSave="0" documentId="13_ncr:1_{62C2A3F0-CE27-4FF4-9A73-C27E65DCAA51}" xr6:coauthVersionLast="47" xr6:coauthVersionMax="47" xr10:uidLastSave="{00000000-0000-0000-0000-000000000000}"/>
  <bookViews>
    <workbookView xWindow="-108" yWindow="-108" windowWidth="23256" windowHeight="13896" activeTab="1" xr2:uid="{00000000-000D-0000-FFFF-FFFF00000000}"/>
  </bookViews>
  <sheets>
    <sheet name="social_media_engagement1" sheetId="1" r:id="rId1"/>
    <sheet name="Dashboard" sheetId="3" r:id="rId2"/>
    <sheet name="Pivot Table" sheetId="4" r:id="rId3"/>
  </sheets>
  <definedNames>
    <definedName name="NativeTimeline_post_time">#N/A</definedName>
    <definedName name="Slicer_platform">#N/A</definedName>
    <definedName name="Slicer_post_day">#N/A</definedName>
    <definedName name="Slicer_post_type">#N/A</definedName>
    <definedName name="Slicer_sentiment_scor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3" i="3" l="1"/>
  <c r="D53" i="3"/>
  <c r="C53" i="3"/>
  <c r="B53" i="3"/>
</calcChain>
</file>

<file path=xl/sharedStrings.xml><?xml version="1.0" encoding="utf-8"?>
<sst xmlns="http://schemas.openxmlformats.org/spreadsheetml/2006/main" count="451" uniqueCount="33">
  <si>
    <t>post_id</t>
  </si>
  <si>
    <t>platform</t>
  </si>
  <si>
    <t>post_type</t>
  </si>
  <si>
    <t>likes</t>
  </si>
  <si>
    <t>comments</t>
  </si>
  <si>
    <t>shares</t>
  </si>
  <si>
    <t>post_day</t>
  </si>
  <si>
    <t>sentiment_score</t>
  </si>
  <si>
    <t>Facebook</t>
  </si>
  <si>
    <t>image</t>
  </si>
  <si>
    <t>Thursday</t>
  </si>
  <si>
    <t>positive</t>
  </si>
  <si>
    <t>carousel</t>
  </si>
  <si>
    <t>Sunday</t>
  </si>
  <si>
    <t>neutral</t>
  </si>
  <si>
    <t>Instagram</t>
  </si>
  <si>
    <t>poll</t>
  </si>
  <si>
    <t>Tuesday</t>
  </si>
  <si>
    <t>negative</t>
  </si>
  <si>
    <t>Twitter</t>
  </si>
  <si>
    <t>video</t>
  </si>
  <si>
    <t>Friday</t>
  </si>
  <si>
    <t>text</t>
  </si>
  <si>
    <t>Saturday</t>
  </si>
  <si>
    <t>Monday</t>
  </si>
  <si>
    <t>Wednesday</t>
  </si>
  <si>
    <t>Row Labels</t>
  </si>
  <si>
    <t>Grand Total</t>
  </si>
  <si>
    <t>Sum of likes</t>
  </si>
  <si>
    <t>Sum of comments</t>
  </si>
  <si>
    <t>Sum of shares</t>
  </si>
  <si>
    <t>Count of post_id</t>
  </si>
  <si>
    <t>post_time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</si>
</sst>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3">
    <xf numFmtId="0" fontId="0" fillId="0" borderId="0" xfId="0"/>
    <xf numFmtId="22" fontId="0" fillId="0" borderId="0" xfId="0" applyNumberFormat="1"/>
    <xf numFmtId="0" fontId="0" fillId="0" borderId="1" xfId="0" applyBorder="1"/>
    <xf numFmtId="0" fontId="0" fillId="0" borderId="2" xfId="0"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3" borderId="4" xfId="0" applyFill="1" applyBorder="1"/>
    <xf numFmtId="0" fontId="0" fillId="3" borderId="5" xfId="0" applyFill="1" applyBorder="1"/>
    <xf numFmtId="0" fontId="0" fillId="3" borderId="6" xfId="0" applyFill="1" applyBorder="1"/>
    <xf numFmtId="0" fontId="0" fillId="0" borderId="4" xfId="0" applyBorder="1"/>
    <xf numFmtId="0" fontId="0" fillId="0" borderId="5" xfId="0" applyBorder="1"/>
    <xf numFmtId="0" fontId="0" fillId="0" borderId="6" xfId="0" applyBorder="1"/>
    <xf numFmtId="22" fontId="0" fillId="0" borderId="5" xfId="0" applyNumberFormat="1" applyBorder="1"/>
    <xf numFmtId="22" fontId="0" fillId="3" borderId="5" xfId="0" applyNumberFormat="1" applyFill="1" applyBorder="1"/>
    <xf numFmtId="22" fontId="0" fillId="0" borderId="2" xfId="0" applyNumberFormat="1" applyBorder="1"/>
    <xf numFmtId="22" fontId="1" fillId="2" borderId="5" xfId="0" applyNumberFormat="1" applyFont="1" applyFill="1" applyBorder="1"/>
    <xf numFmtId="164" fontId="0" fillId="3" borderId="5" xfId="0" applyNumberFormat="1" applyFill="1" applyBorder="1"/>
    <xf numFmtId="164" fontId="0" fillId="0" borderId="5" xfId="0" applyNumberForma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[Social_Media_Engagement_Dashboard.xlsx]Pivot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Likes</a:t>
            </a:r>
            <a:r>
              <a:rPr lang="en-US" b="1" baseline="0"/>
              <a:t> by Platform</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Table'!$A$4:$A$7</c:f>
              <c:strCache>
                <c:ptCount val="3"/>
                <c:pt idx="0">
                  <c:v>Facebook</c:v>
                </c:pt>
                <c:pt idx="1">
                  <c:v>Instagram</c:v>
                </c:pt>
                <c:pt idx="2">
                  <c:v>Twitter</c:v>
                </c:pt>
              </c:strCache>
            </c:strRef>
          </c:cat>
          <c:val>
            <c:numRef>
              <c:f>'Pivot Table'!$B$4:$B$7</c:f>
              <c:numCache>
                <c:formatCode>General</c:formatCode>
                <c:ptCount val="3"/>
                <c:pt idx="0">
                  <c:v>86392</c:v>
                </c:pt>
                <c:pt idx="1">
                  <c:v>107994</c:v>
                </c:pt>
                <c:pt idx="2">
                  <c:v>43795</c:v>
                </c:pt>
              </c:numCache>
            </c:numRef>
          </c:val>
          <c:extLst>
            <c:ext xmlns:c16="http://schemas.microsoft.com/office/drawing/2014/chart" uri="{C3380CC4-5D6E-409C-BE32-E72D297353CC}">
              <c16:uniqueId val="{00000000-B758-49FB-8EB3-CEF5FB848018}"/>
            </c:ext>
          </c:extLst>
        </c:ser>
        <c:dLbls>
          <c:dLblPos val="outEnd"/>
          <c:showLegendKey val="0"/>
          <c:showVal val="1"/>
          <c:showCatName val="0"/>
          <c:showSerName val="0"/>
          <c:showPercent val="0"/>
          <c:showBubbleSize val="0"/>
        </c:dLbls>
        <c:gapWidth val="219"/>
        <c:overlap val="-27"/>
        <c:axId val="159774496"/>
        <c:axId val="159758176"/>
      </c:barChart>
      <c:catAx>
        <c:axId val="15977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58176"/>
        <c:crosses val="autoZero"/>
        <c:auto val="1"/>
        <c:lblAlgn val="ctr"/>
        <c:lblOffset val="100"/>
        <c:noMultiLvlLbl val="0"/>
      </c:catAx>
      <c:valAx>
        <c:axId val="15975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7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[Social_Media_Engagement_Dashboard.xlsx]Pivot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Comments</a:t>
            </a:r>
            <a:r>
              <a:rPr lang="en-US" b="1" baseline="0"/>
              <a:t> by Platform</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Table'!$A$11:$A$14</c:f>
              <c:strCache>
                <c:ptCount val="3"/>
                <c:pt idx="0">
                  <c:v>Facebook</c:v>
                </c:pt>
                <c:pt idx="1">
                  <c:v>Instagram</c:v>
                </c:pt>
                <c:pt idx="2">
                  <c:v>Twitter</c:v>
                </c:pt>
              </c:strCache>
            </c:strRef>
          </c:cat>
          <c:val>
            <c:numRef>
              <c:f>'Pivot Table'!$B$11:$B$14</c:f>
              <c:numCache>
                <c:formatCode>General</c:formatCode>
                <c:ptCount val="3"/>
                <c:pt idx="0">
                  <c:v>7965</c:v>
                </c:pt>
                <c:pt idx="1">
                  <c:v>8368</c:v>
                </c:pt>
                <c:pt idx="2">
                  <c:v>3933</c:v>
                </c:pt>
              </c:numCache>
            </c:numRef>
          </c:val>
          <c:extLst>
            <c:ext xmlns:c16="http://schemas.microsoft.com/office/drawing/2014/chart" uri="{C3380CC4-5D6E-409C-BE32-E72D297353CC}">
              <c16:uniqueId val="{00000000-A927-4A42-BAB1-A4CE6F35D079}"/>
            </c:ext>
          </c:extLst>
        </c:ser>
        <c:dLbls>
          <c:dLblPos val="outEnd"/>
          <c:showLegendKey val="0"/>
          <c:showVal val="1"/>
          <c:showCatName val="0"/>
          <c:showSerName val="0"/>
          <c:showPercent val="0"/>
          <c:showBubbleSize val="0"/>
        </c:dLbls>
        <c:gapWidth val="219"/>
        <c:overlap val="-27"/>
        <c:axId val="306816032"/>
        <c:axId val="306804992"/>
      </c:barChart>
      <c:catAx>
        <c:axId val="30681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804992"/>
        <c:crosses val="autoZero"/>
        <c:auto val="1"/>
        <c:lblAlgn val="ctr"/>
        <c:lblOffset val="100"/>
        <c:noMultiLvlLbl val="0"/>
      </c:catAx>
      <c:valAx>
        <c:axId val="30680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81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[Social_Media_Engagement_Dashboard.xlsx]Pivot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Shares</a:t>
            </a:r>
            <a:r>
              <a:rPr lang="en-US" b="1" baseline="0"/>
              <a:t> by Platform</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29186320286243"/>
          <c:y val="0.2991633210470882"/>
          <c:w val="0.61506305931707361"/>
          <c:h val="0.47070443105915527"/>
        </c:manualLayout>
      </c:layout>
      <c:barChart>
        <c:barDir val="col"/>
        <c:grouping val="clustered"/>
        <c:varyColors val="0"/>
        <c:ser>
          <c:idx val="0"/>
          <c:order val="0"/>
          <c:tx>
            <c:strRef>
              <c:f>'Pivot Table'!$E$3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Table'!$D$4:$D$7</c:f>
              <c:strCache>
                <c:ptCount val="3"/>
                <c:pt idx="0">
                  <c:v>Facebook</c:v>
                </c:pt>
                <c:pt idx="1">
                  <c:v>Instagram</c:v>
                </c:pt>
                <c:pt idx="2">
                  <c:v>Twitter</c:v>
                </c:pt>
              </c:strCache>
            </c:strRef>
          </c:cat>
          <c:val>
            <c:numRef>
              <c:f>'Pivot Table'!$E$4:$E$7</c:f>
              <c:numCache>
                <c:formatCode>General</c:formatCode>
                <c:ptCount val="3"/>
                <c:pt idx="0">
                  <c:v>15180</c:v>
                </c:pt>
                <c:pt idx="1">
                  <c:v>18906</c:v>
                </c:pt>
                <c:pt idx="2">
                  <c:v>7479</c:v>
                </c:pt>
              </c:numCache>
            </c:numRef>
          </c:val>
          <c:extLst>
            <c:ext xmlns:c16="http://schemas.microsoft.com/office/drawing/2014/chart" uri="{C3380CC4-5D6E-409C-BE32-E72D297353CC}">
              <c16:uniqueId val="{00000000-996E-4292-9578-87362C3D463E}"/>
            </c:ext>
          </c:extLst>
        </c:ser>
        <c:dLbls>
          <c:dLblPos val="outEnd"/>
          <c:showLegendKey val="0"/>
          <c:showVal val="1"/>
          <c:showCatName val="0"/>
          <c:showSerName val="0"/>
          <c:showPercent val="0"/>
          <c:showBubbleSize val="0"/>
        </c:dLbls>
        <c:gapWidth val="219"/>
        <c:overlap val="-27"/>
        <c:axId val="306809312"/>
        <c:axId val="306818912"/>
      </c:barChart>
      <c:catAx>
        <c:axId val="30680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818912"/>
        <c:crosses val="autoZero"/>
        <c:auto val="1"/>
        <c:lblAlgn val="ctr"/>
        <c:lblOffset val="100"/>
        <c:noMultiLvlLbl val="0"/>
      </c:catAx>
      <c:valAx>
        <c:axId val="30681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80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[Social_Media_Engagement_Dashboard.xlsx]Pivot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Sentiment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pieChart>
        <c:varyColors val="1"/>
        <c:ser>
          <c:idx val="0"/>
          <c:order val="0"/>
          <c:tx>
            <c:strRef>
              <c:f>'Pivot Table'!$H$3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0C7-4A5C-8EBE-449D49A8CAA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0C7-4A5C-8EBE-449D49A8CAA4}"/>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00C7-4A5C-8EBE-449D49A8CA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Table'!$G$4:$G$7</c:f>
              <c:strCache>
                <c:ptCount val="3"/>
                <c:pt idx="0">
                  <c:v>negative</c:v>
                </c:pt>
                <c:pt idx="1">
                  <c:v>neutral</c:v>
                </c:pt>
                <c:pt idx="2">
                  <c:v>positive</c:v>
                </c:pt>
              </c:strCache>
            </c:strRef>
          </c:cat>
          <c:val>
            <c:numRef>
              <c:f>'Pivot Table'!$H$4:$H$7</c:f>
              <c:numCache>
                <c:formatCode>General</c:formatCode>
                <c:ptCount val="3"/>
                <c:pt idx="0">
                  <c:v>27</c:v>
                </c:pt>
                <c:pt idx="1">
                  <c:v>27</c:v>
                </c:pt>
                <c:pt idx="2">
                  <c:v>46</c:v>
                </c:pt>
              </c:numCache>
            </c:numRef>
          </c:val>
          <c:extLst>
            <c:ext xmlns:c16="http://schemas.microsoft.com/office/drawing/2014/chart" uri="{C3380CC4-5D6E-409C-BE32-E72D297353CC}">
              <c16:uniqueId val="{00000006-00C7-4A5C-8EBE-449D49A8CAA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[Social_Media_Engagement_Dashboard.xlsx]Pivot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Posts</a:t>
            </a:r>
            <a:r>
              <a:rPr lang="en-US" b="1" baseline="0"/>
              <a:t> by Post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Table'!$E$10</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Table'!$D$11:$D$16</c:f>
              <c:strCache>
                <c:ptCount val="5"/>
                <c:pt idx="0">
                  <c:v>carousel</c:v>
                </c:pt>
                <c:pt idx="1">
                  <c:v>image</c:v>
                </c:pt>
                <c:pt idx="2">
                  <c:v>poll</c:v>
                </c:pt>
                <c:pt idx="3">
                  <c:v>text</c:v>
                </c:pt>
                <c:pt idx="4">
                  <c:v>video</c:v>
                </c:pt>
              </c:strCache>
            </c:strRef>
          </c:cat>
          <c:val>
            <c:numRef>
              <c:f>'Pivot Table'!$E$11:$E$16</c:f>
              <c:numCache>
                <c:formatCode>General</c:formatCode>
                <c:ptCount val="5"/>
                <c:pt idx="0">
                  <c:v>26</c:v>
                </c:pt>
                <c:pt idx="1">
                  <c:v>17</c:v>
                </c:pt>
                <c:pt idx="2">
                  <c:v>13</c:v>
                </c:pt>
                <c:pt idx="3">
                  <c:v>21</c:v>
                </c:pt>
                <c:pt idx="4">
                  <c:v>23</c:v>
                </c:pt>
              </c:numCache>
            </c:numRef>
          </c:val>
          <c:extLst>
            <c:ext xmlns:c16="http://schemas.microsoft.com/office/drawing/2014/chart" uri="{C3380CC4-5D6E-409C-BE32-E72D297353CC}">
              <c16:uniqueId val="{00000000-E125-477C-AA89-E080B58B545B}"/>
            </c:ext>
          </c:extLst>
        </c:ser>
        <c:dLbls>
          <c:dLblPos val="outEnd"/>
          <c:showLegendKey val="0"/>
          <c:showVal val="1"/>
          <c:showCatName val="0"/>
          <c:showSerName val="0"/>
          <c:showPercent val="0"/>
          <c:showBubbleSize val="0"/>
        </c:dLbls>
        <c:gapWidth val="182"/>
        <c:axId val="159786496"/>
        <c:axId val="159791776"/>
      </c:barChart>
      <c:catAx>
        <c:axId val="15978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91776"/>
        <c:crosses val="autoZero"/>
        <c:auto val="1"/>
        <c:lblAlgn val="ctr"/>
        <c:lblOffset val="100"/>
        <c:noMultiLvlLbl val="0"/>
      </c:catAx>
      <c:valAx>
        <c:axId val="159791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8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[Social_Media_Engagement_Dashboard.xlsx]Pivot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Posts</a:t>
            </a:r>
            <a:r>
              <a:rPr lang="en-US" b="1" baseline="0"/>
              <a:t> by Day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Table'!$H$10</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Table'!$G$11:$G$18</c:f>
              <c:strCache>
                <c:ptCount val="7"/>
                <c:pt idx="0">
                  <c:v>Sunday</c:v>
                </c:pt>
                <c:pt idx="1">
                  <c:v>Monday</c:v>
                </c:pt>
                <c:pt idx="2">
                  <c:v>Tuesday</c:v>
                </c:pt>
                <c:pt idx="3">
                  <c:v>Wednesday</c:v>
                </c:pt>
                <c:pt idx="4">
                  <c:v>Thursday</c:v>
                </c:pt>
                <c:pt idx="5">
                  <c:v>Friday</c:v>
                </c:pt>
                <c:pt idx="6">
                  <c:v>Saturday</c:v>
                </c:pt>
              </c:strCache>
            </c:strRef>
          </c:cat>
          <c:val>
            <c:numRef>
              <c:f>'Pivot Table'!$H$11:$H$18</c:f>
              <c:numCache>
                <c:formatCode>General</c:formatCode>
                <c:ptCount val="7"/>
                <c:pt idx="0">
                  <c:v>14</c:v>
                </c:pt>
                <c:pt idx="1">
                  <c:v>11</c:v>
                </c:pt>
                <c:pt idx="2">
                  <c:v>15</c:v>
                </c:pt>
                <c:pt idx="3">
                  <c:v>18</c:v>
                </c:pt>
                <c:pt idx="4">
                  <c:v>16</c:v>
                </c:pt>
                <c:pt idx="5">
                  <c:v>16</c:v>
                </c:pt>
                <c:pt idx="6">
                  <c:v>10</c:v>
                </c:pt>
              </c:numCache>
            </c:numRef>
          </c:val>
          <c:smooth val="0"/>
          <c:extLst>
            <c:ext xmlns:c16="http://schemas.microsoft.com/office/drawing/2014/chart" uri="{C3380CC4-5D6E-409C-BE32-E72D297353CC}">
              <c16:uniqueId val="{00000000-70FC-42D7-9911-E597AA1F151B}"/>
            </c:ext>
          </c:extLst>
        </c:ser>
        <c:dLbls>
          <c:dLblPos val="t"/>
          <c:showLegendKey val="0"/>
          <c:showVal val="1"/>
          <c:showCatName val="0"/>
          <c:showSerName val="0"/>
          <c:showPercent val="0"/>
          <c:showBubbleSize val="0"/>
        </c:dLbls>
        <c:smooth val="0"/>
        <c:axId val="159795616"/>
        <c:axId val="159793216"/>
      </c:lineChart>
      <c:catAx>
        <c:axId val="15979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93216"/>
        <c:crosses val="autoZero"/>
        <c:auto val="1"/>
        <c:lblAlgn val="ctr"/>
        <c:lblOffset val="100"/>
        <c:noMultiLvlLbl val="0"/>
      </c:catAx>
      <c:valAx>
        <c:axId val="15979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9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sv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358140</xdr:colOff>
      <xdr:row>3</xdr:row>
      <xdr:rowOff>35607</xdr:rowOff>
    </xdr:from>
    <xdr:to>
      <xdr:col>24</xdr:col>
      <xdr:colOff>315310</xdr:colOff>
      <xdr:row>51</xdr:row>
      <xdr:rowOff>31750</xdr:rowOff>
    </xdr:to>
    <xdr:sp macro="" textlink="">
      <xdr:nvSpPr>
        <xdr:cNvPr id="2" name="Rectangle: Rounded Corners 1">
          <a:extLst>
            <a:ext uri="{FF2B5EF4-FFF2-40B4-BE49-F238E27FC236}">
              <a16:creationId xmlns:a16="http://schemas.microsoft.com/office/drawing/2014/main" id="{21B13872-86ED-7511-168C-CB3603180042}"/>
            </a:ext>
          </a:extLst>
        </xdr:cNvPr>
        <xdr:cNvSpPr/>
      </xdr:nvSpPr>
      <xdr:spPr>
        <a:xfrm>
          <a:off x="971243" y="587400"/>
          <a:ext cx="14058550" cy="8824833"/>
        </a:xfrm>
        <a:prstGeom prst="roundRect">
          <a:avLst>
            <a:gd name="adj" fmla="val 995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289559</xdr:colOff>
      <xdr:row>8</xdr:row>
      <xdr:rowOff>125260</xdr:rowOff>
    </xdr:from>
    <xdr:to>
      <xdr:col>21</xdr:col>
      <xdr:colOff>476249</xdr:colOff>
      <xdr:row>49</xdr:row>
      <xdr:rowOff>52916</xdr:rowOff>
    </xdr:to>
    <xdr:sp macro="" textlink="">
      <xdr:nvSpPr>
        <xdr:cNvPr id="3" name="Rectangle: Rounded Corners 2">
          <a:extLst>
            <a:ext uri="{FF2B5EF4-FFF2-40B4-BE49-F238E27FC236}">
              <a16:creationId xmlns:a16="http://schemas.microsoft.com/office/drawing/2014/main" id="{BF68F5B9-D9C3-F00F-9EC2-8DDC88453B27}"/>
            </a:ext>
          </a:extLst>
        </xdr:cNvPr>
        <xdr:cNvSpPr/>
      </xdr:nvSpPr>
      <xdr:spPr>
        <a:xfrm>
          <a:off x="2744892" y="1564593"/>
          <a:ext cx="10621857" cy="7304240"/>
        </a:xfrm>
        <a:prstGeom prst="roundRect">
          <a:avLst>
            <a:gd name="adj" fmla="val 5805"/>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116632</xdr:colOff>
      <xdr:row>4</xdr:row>
      <xdr:rowOff>56970</xdr:rowOff>
    </xdr:from>
    <xdr:to>
      <xdr:col>21</xdr:col>
      <xdr:colOff>136357</xdr:colOff>
      <xdr:row>8</xdr:row>
      <xdr:rowOff>42728</xdr:rowOff>
    </xdr:to>
    <xdr:sp macro="" textlink="">
      <xdr:nvSpPr>
        <xdr:cNvPr id="5" name="Rectangle 4">
          <a:extLst>
            <a:ext uri="{FF2B5EF4-FFF2-40B4-BE49-F238E27FC236}">
              <a16:creationId xmlns:a16="http://schemas.microsoft.com/office/drawing/2014/main" id="{EA0087D5-BDBB-BF2E-C39B-2B76C540F133}"/>
            </a:ext>
          </a:extLst>
        </xdr:cNvPr>
        <xdr:cNvSpPr/>
      </xdr:nvSpPr>
      <xdr:spPr>
        <a:xfrm>
          <a:off x="3164632" y="794907"/>
          <a:ext cx="9773325" cy="72369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rgbClr val="FF0000"/>
              </a:solidFill>
            </a:rPr>
            <a:t>Social Media Engagement</a:t>
          </a:r>
          <a:r>
            <a:rPr lang="en-IN" sz="2800" baseline="0">
              <a:solidFill>
                <a:srgbClr val="FF0000"/>
              </a:solidFill>
            </a:rPr>
            <a:t> Dashboard</a:t>
          </a:r>
          <a:endParaRPr lang="en-IN" sz="2800">
            <a:solidFill>
              <a:srgbClr val="FF0000"/>
            </a:solidFill>
          </a:endParaRPr>
        </a:p>
      </xdr:txBody>
    </xdr:sp>
    <xdr:clientData/>
  </xdr:twoCellAnchor>
  <xdr:twoCellAnchor editAs="oneCell">
    <xdr:from>
      <xdr:col>7</xdr:col>
      <xdr:colOff>219319</xdr:colOff>
      <xdr:row>4</xdr:row>
      <xdr:rowOff>159871</xdr:rowOff>
    </xdr:from>
    <xdr:to>
      <xdr:col>8</xdr:col>
      <xdr:colOff>333265</xdr:colOff>
      <xdr:row>7</xdr:row>
      <xdr:rowOff>176696</xdr:rowOff>
    </xdr:to>
    <xdr:pic>
      <xdr:nvPicPr>
        <xdr:cNvPr id="17" name="Graphic 16" descr="Smart Phone with solid fill">
          <a:extLst>
            <a:ext uri="{FF2B5EF4-FFF2-40B4-BE49-F238E27FC236}">
              <a16:creationId xmlns:a16="http://schemas.microsoft.com/office/drawing/2014/main" id="{95571192-91D3-F2BC-4E3D-EE7A6E6F6ED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1058" y="910828"/>
          <a:ext cx="721337" cy="580042"/>
        </a:xfrm>
        <a:prstGeom prst="rect">
          <a:avLst/>
        </a:prstGeom>
      </xdr:spPr>
    </xdr:pic>
    <xdr:clientData/>
  </xdr:twoCellAnchor>
  <xdr:twoCellAnchor>
    <xdr:from>
      <xdr:col>14</xdr:col>
      <xdr:colOff>430761</xdr:colOff>
      <xdr:row>10</xdr:row>
      <xdr:rowOff>29548</xdr:rowOff>
    </xdr:from>
    <xdr:to>
      <xdr:col>17</xdr:col>
      <xdr:colOff>209937</xdr:colOff>
      <xdr:row>13</xdr:row>
      <xdr:rowOff>108858</xdr:rowOff>
    </xdr:to>
    <xdr:sp macro="" textlink="">
      <xdr:nvSpPr>
        <xdr:cNvPr id="19" name="Rectangle 18">
          <a:extLst>
            <a:ext uri="{FF2B5EF4-FFF2-40B4-BE49-F238E27FC236}">
              <a16:creationId xmlns:a16="http://schemas.microsoft.com/office/drawing/2014/main" id="{EADB672F-D355-A9E6-F80F-268EA41C231A}"/>
            </a:ext>
          </a:extLst>
        </xdr:cNvPr>
        <xdr:cNvSpPr/>
      </xdr:nvSpPr>
      <xdr:spPr>
        <a:xfrm>
          <a:off x="8921618" y="1895670"/>
          <a:ext cx="1598646" cy="639147"/>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116631</xdr:colOff>
      <xdr:row>10</xdr:row>
      <xdr:rowOff>34214</xdr:rowOff>
    </xdr:from>
    <xdr:to>
      <xdr:col>17</xdr:col>
      <xdr:colOff>404326</xdr:colOff>
      <xdr:row>13</xdr:row>
      <xdr:rowOff>113524</xdr:rowOff>
    </xdr:to>
    <xdr:sp macro="" textlink="">
      <xdr:nvSpPr>
        <xdr:cNvPr id="20" name="Rectangle 19">
          <a:extLst>
            <a:ext uri="{FF2B5EF4-FFF2-40B4-BE49-F238E27FC236}">
              <a16:creationId xmlns:a16="http://schemas.microsoft.com/office/drawing/2014/main" id="{3350A17C-15C7-4ECE-AFB2-5836AD6BAFEE}"/>
            </a:ext>
          </a:extLst>
        </xdr:cNvPr>
        <xdr:cNvSpPr/>
      </xdr:nvSpPr>
      <xdr:spPr>
        <a:xfrm>
          <a:off x="9213978" y="1900336"/>
          <a:ext cx="1500675" cy="63914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b="1">
              <a:solidFill>
                <a:schemeClr val="tx1"/>
              </a:solidFill>
            </a:rPr>
            <a:t>Total Posts</a:t>
          </a:r>
        </a:p>
      </xdr:txBody>
    </xdr:sp>
    <xdr:clientData/>
  </xdr:twoCellAnchor>
  <xdr:twoCellAnchor editAs="oneCell">
    <xdr:from>
      <xdr:col>15</xdr:col>
      <xdr:colOff>139958</xdr:colOff>
      <xdr:row>10</xdr:row>
      <xdr:rowOff>93307</xdr:rowOff>
    </xdr:from>
    <xdr:to>
      <xdr:col>15</xdr:col>
      <xdr:colOff>598713</xdr:colOff>
      <xdr:row>13</xdr:row>
      <xdr:rowOff>62205</xdr:rowOff>
    </xdr:to>
    <xdr:pic>
      <xdr:nvPicPr>
        <xdr:cNvPr id="21" name="Picture 20">
          <a:extLst>
            <a:ext uri="{FF2B5EF4-FFF2-40B4-BE49-F238E27FC236}">
              <a16:creationId xmlns:a16="http://schemas.microsoft.com/office/drawing/2014/main" id="{4B07B6A7-FAAB-7C67-69F5-741433238769}"/>
            </a:ext>
          </a:extLst>
        </xdr:cNvPr>
        <xdr:cNvPicPr>
          <a:picLocks noChangeAspect="1"/>
        </xdr:cNvPicPr>
      </xdr:nvPicPr>
      <xdr:blipFill>
        <a:blip xmlns:r="http://schemas.openxmlformats.org/officeDocument/2006/relationships" r:embed="rId3"/>
        <a:stretch>
          <a:fillRect/>
        </a:stretch>
      </xdr:blipFill>
      <xdr:spPr>
        <a:xfrm>
          <a:off x="9237305" y="1959429"/>
          <a:ext cx="458755" cy="528735"/>
        </a:xfrm>
        <a:prstGeom prst="rect">
          <a:avLst/>
        </a:prstGeom>
      </xdr:spPr>
    </xdr:pic>
    <xdr:clientData/>
  </xdr:twoCellAnchor>
  <xdr:twoCellAnchor>
    <xdr:from>
      <xdr:col>18</xdr:col>
      <xdr:colOff>17417</xdr:colOff>
      <xdr:row>10</xdr:row>
      <xdr:rowOff>39731</xdr:rowOff>
    </xdr:from>
    <xdr:to>
      <xdr:col>20</xdr:col>
      <xdr:colOff>403083</xdr:colOff>
      <xdr:row>13</xdr:row>
      <xdr:rowOff>119041</xdr:rowOff>
    </xdr:to>
    <xdr:sp macro="" textlink="">
      <xdr:nvSpPr>
        <xdr:cNvPr id="26" name="Rectangle 25">
          <a:extLst>
            <a:ext uri="{FF2B5EF4-FFF2-40B4-BE49-F238E27FC236}">
              <a16:creationId xmlns:a16="http://schemas.microsoft.com/office/drawing/2014/main" id="{0BD4A917-3D94-4337-B4C3-65BA6DDD3AD7}"/>
            </a:ext>
          </a:extLst>
        </xdr:cNvPr>
        <xdr:cNvSpPr/>
      </xdr:nvSpPr>
      <xdr:spPr>
        <a:xfrm>
          <a:off x="10934233" y="1905853"/>
          <a:ext cx="1598646" cy="639147"/>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274009</xdr:colOff>
      <xdr:row>10</xdr:row>
      <xdr:rowOff>39731</xdr:rowOff>
    </xdr:from>
    <xdr:to>
      <xdr:col>20</xdr:col>
      <xdr:colOff>561704</xdr:colOff>
      <xdr:row>13</xdr:row>
      <xdr:rowOff>119041</xdr:rowOff>
    </xdr:to>
    <xdr:sp macro="" textlink="">
      <xdr:nvSpPr>
        <xdr:cNvPr id="27" name="Rectangle 26">
          <a:extLst>
            <a:ext uri="{FF2B5EF4-FFF2-40B4-BE49-F238E27FC236}">
              <a16:creationId xmlns:a16="http://schemas.microsoft.com/office/drawing/2014/main" id="{2D0D4EC9-21BA-4708-8CC9-1345446BF8E6}"/>
            </a:ext>
          </a:extLst>
        </xdr:cNvPr>
        <xdr:cNvSpPr/>
      </xdr:nvSpPr>
      <xdr:spPr>
        <a:xfrm>
          <a:off x="11190825" y="1905853"/>
          <a:ext cx="1500675" cy="63914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b="1">
              <a:solidFill>
                <a:schemeClr val="tx1"/>
              </a:solidFill>
            </a:rPr>
            <a:t>Total Likes</a:t>
          </a:r>
        </a:p>
      </xdr:txBody>
    </xdr:sp>
    <xdr:clientData/>
  </xdr:twoCellAnchor>
  <xdr:twoCellAnchor editAs="oneCell">
    <xdr:from>
      <xdr:col>18</xdr:col>
      <xdr:colOff>272143</xdr:colOff>
      <xdr:row>10</xdr:row>
      <xdr:rowOff>155510</xdr:rowOff>
    </xdr:from>
    <xdr:to>
      <xdr:col>19</xdr:col>
      <xdr:colOff>178837</xdr:colOff>
      <xdr:row>13</xdr:row>
      <xdr:rowOff>23326</xdr:rowOff>
    </xdr:to>
    <xdr:pic>
      <xdr:nvPicPr>
        <xdr:cNvPr id="29" name="Graphic 28" descr="Heart with solid fill">
          <a:extLst>
            <a:ext uri="{FF2B5EF4-FFF2-40B4-BE49-F238E27FC236}">
              <a16:creationId xmlns:a16="http://schemas.microsoft.com/office/drawing/2014/main" id="{EFF91B66-8F38-B005-D373-2A8E2546766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188959" y="2021632"/>
          <a:ext cx="513184" cy="427653"/>
        </a:xfrm>
        <a:prstGeom prst="rect">
          <a:avLst/>
        </a:prstGeom>
      </xdr:spPr>
    </xdr:pic>
    <xdr:clientData/>
  </xdr:twoCellAnchor>
  <xdr:twoCellAnchor>
    <xdr:from>
      <xdr:col>14</xdr:col>
      <xdr:colOff>421744</xdr:colOff>
      <xdr:row>14</xdr:row>
      <xdr:rowOff>24180</xdr:rowOff>
    </xdr:from>
    <xdr:to>
      <xdr:col>17</xdr:col>
      <xdr:colOff>200920</xdr:colOff>
      <xdr:row>17</xdr:row>
      <xdr:rowOff>103490</xdr:rowOff>
    </xdr:to>
    <xdr:sp macro="" textlink="">
      <xdr:nvSpPr>
        <xdr:cNvPr id="30" name="Rectangle 29">
          <a:extLst>
            <a:ext uri="{FF2B5EF4-FFF2-40B4-BE49-F238E27FC236}">
              <a16:creationId xmlns:a16="http://schemas.microsoft.com/office/drawing/2014/main" id="{F686E8E8-357D-4FA7-84B7-4D4369EF063B}"/>
            </a:ext>
          </a:extLst>
        </xdr:cNvPr>
        <xdr:cNvSpPr/>
      </xdr:nvSpPr>
      <xdr:spPr>
        <a:xfrm>
          <a:off x="8912601" y="2636751"/>
          <a:ext cx="1598646" cy="63914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126275</xdr:colOff>
      <xdr:row>14</xdr:row>
      <xdr:rowOff>24179</xdr:rowOff>
    </xdr:from>
    <xdr:to>
      <xdr:col>17</xdr:col>
      <xdr:colOff>388775</xdr:colOff>
      <xdr:row>17</xdr:row>
      <xdr:rowOff>103489</xdr:rowOff>
    </xdr:to>
    <xdr:sp macro="" textlink="">
      <xdr:nvSpPr>
        <xdr:cNvPr id="31" name="Rectangle 30">
          <a:extLst>
            <a:ext uri="{FF2B5EF4-FFF2-40B4-BE49-F238E27FC236}">
              <a16:creationId xmlns:a16="http://schemas.microsoft.com/office/drawing/2014/main" id="{77F5FD2B-4987-4789-8939-1E7F9856FDDE}"/>
            </a:ext>
          </a:extLst>
        </xdr:cNvPr>
        <xdr:cNvSpPr/>
      </xdr:nvSpPr>
      <xdr:spPr>
        <a:xfrm>
          <a:off x="9223622" y="2636750"/>
          <a:ext cx="1475480" cy="63914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b="1">
              <a:solidFill>
                <a:schemeClr val="tx1"/>
              </a:solidFill>
            </a:rPr>
            <a:t>Total Cmnts</a:t>
          </a:r>
        </a:p>
      </xdr:txBody>
    </xdr:sp>
    <xdr:clientData/>
  </xdr:twoCellAnchor>
  <xdr:twoCellAnchor editAs="oneCell">
    <xdr:from>
      <xdr:col>15</xdr:col>
      <xdr:colOff>147735</xdr:colOff>
      <xdr:row>14</xdr:row>
      <xdr:rowOff>132184</xdr:rowOff>
    </xdr:from>
    <xdr:to>
      <xdr:col>15</xdr:col>
      <xdr:colOff>513185</xdr:colOff>
      <xdr:row>17</xdr:row>
      <xdr:rowOff>77756</xdr:rowOff>
    </xdr:to>
    <xdr:pic>
      <xdr:nvPicPr>
        <xdr:cNvPr id="6" name="Graphic 5" descr="Speech with solid fill">
          <a:extLst>
            <a:ext uri="{FF2B5EF4-FFF2-40B4-BE49-F238E27FC236}">
              <a16:creationId xmlns:a16="http://schemas.microsoft.com/office/drawing/2014/main" id="{E8CA2E7C-8E38-3A98-91C3-C827EDEC96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245082" y="2744755"/>
          <a:ext cx="365450" cy="505409"/>
        </a:xfrm>
        <a:prstGeom prst="rect">
          <a:avLst/>
        </a:prstGeom>
      </xdr:spPr>
    </xdr:pic>
    <xdr:clientData/>
  </xdr:twoCellAnchor>
  <xdr:twoCellAnchor>
    <xdr:from>
      <xdr:col>18</xdr:col>
      <xdr:colOff>9641</xdr:colOff>
      <xdr:row>14</xdr:row>
      <xdr:rowOff>39731</xdr:rowOff>
    </xdr:from>
    <xdr:to>
      <xdr:col>20</xdr:col>
      <xdr:colOff>395307</xdr:colOff>
      <xdr:row>17</xdr:row>
      <xdr:rowOff>119041</xdr:rowOff>
    </xdr:to>
    <xdr:sp macro="" textlink="">
      <xdr:nvSpPr>
        <xdr:cNvPr id="7" name="Rectangle 6">
          <a:extLst>
            <a:ext uri="{FF2B5EF4-FFF2-40B4-BE49-F238E27FC236}">
              <a16:creationId xmlns:a16="http://schemas.microsoft.com/office/drawing/2014/main" id="{889C04AE-CDDA-43C6-A8E4-206E9D83CB80}"/>
            </a:ext>
          </a:extLst>
        </xdr:cNvPr>
        <xdr:cNvSpPr/>
      </xdr:nvSpPr>
      <xdr:spPr>
        <a:xfrm>
          <a:off x="10926457" y="2652302"/>
          <a:ext cx="1598646" cy="639147"/>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289560</xdr:colOff>
      <xdr:row>14</xdr:row>
      <xdr:rowOff>39731</xdr:rowOff>
    </xdr:from>
    <xdr:to>
      <xdr:col>20</xdr:col>
      <xdr:colOff>552060</xdr:colOff>
      <xdr:row>17</xdr:row>
      <xdr:rowOff>119041</xdr:rowOff>
    </xdr:to>
    <xdr:sp macro="" textlink="">
      <xdr:nvSpPr>
        <xdr:cNvPr id="9" name="Rectangle 8">
          <a:extLst>
            <a:ext uri="{FF2B5EF4-FFF2-40B4-BE49-F238E27FC236}">
              <a16:creationId xmlns:a16="http://schemas.microsoft.com/office/drawing/2014/main" id="{3A7E9BFC-A912-4095-9449-228A6910276A}"/>
            </a:ext>
          </a:extLst>
        </xdr:cNvPr>
        <xdr:cNvSpPr/>
      </xdr:nvSpPr>
      <xdr:spPr>
        <a:xfrm>
          <a:off x="11206376" y="2652302"/>
          <a:ext cx="1475480" cy="63914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b="1">
              <a:solidFill>
                <a:schemeClr val="tx1"/>
              </a:solidFill>
            </a:rPr>
            <a:t>Total Shares</a:t>
          </a:r>
        </a:p>
      </xdr:txBody>
    </xdr:sp>
    <xdr:clientData/>
  </xdr:twoCellAnchor>
  <xdr:twoCellAnchor editAs="oneCell">
    <xdr:from>
      <xdr:col>18</xdr:col>
      <xdr:colOff>343992</xdr:colOff>
      <xdr:row>14</xdr:row>
      <xdr:rowOff>163286</xdr:rowOff>
    </xdr:from>
    <xdr:to>
      <xdr:col>19</xdr:col>
      <xdr:colOff>38878</xdr:colOff>
      <xdr:row>17</xdr:row>
      <xdr:rowOff>77754</xdr:rowOff>
    </xdr:to>
    <xdr:pic>
      <xdr:nvPicPr>
        <xdr:cNvPr id="12" name="Picture 11">
          <a:extLst>
            <a:ext uri="{FF2B5EF4-FFF2-40B4-BE49-F238E27FC236}">
              <a16:creationId xmlns:a16="http://schemas.microsoft.com/office/drawing/2014/main" id="{BF8D3695-469F-9E4A-012E-295EBEC3FA9E}"/>
            </a:ext>
          </a:extLst>
        </xdr:cNvPr>
        <xdr:cNvPicPr>
          <a:picLocks noChangeAspect="1"/>
        </xdr:cNvPicPr>
      </xdr:nvPicPr>
      <xdr:blipFill>
        <a:blip xmlns:r="http://schemas.openxmlformats.org/officeDocument/2006/relationships" r:embed="rId8"/>
        <a:stretch>
          <a:fillRect/>
        </a:stretch>
      </xdr:blipFill>
      <xdr:spPr>
        <a:xfrm>
          <a:off x="11260808" y="2775857"/>
          <a:ext cx="301376" cy="474305"/>
        </a:xfrm>
        <a:prstGeom prst="rect">
          <a:avLst/>
        </a:prstGeom>
      </xdr:spPr>
    </xdr:pic>
    <xdr:clientData/>
  </xdr:twoCellAnchor>
  <xdr:oneCellAnchor>
    <xdr:from>
      <xdr:col>16</xdr:col>
      <xdr:colOff>54429</xdr:colOff>
      <xdr:row>11</xdr:row>
      <xdr:rowOff>124408</xdr:rowOff>
    </xdr:from>
    <xdr:ext cx="660918" cy="272144"/>
    <xdr:sp macro="" textlink="B53">
      <xdr:nvSpPr>
        <xdr:cNvPr id="13" name="TextBox 12">
          <a:extLst>
            <a:ext uri="{FF2B5EF4-FFF2-40B4-BE49-F238E27FC236}">
              <a16:creationId xmlns:a16="http://schemas.microsoft.com/office/drawing/2014/main" id="{85D816F9-591A-99BF-5C5D-952B6A8FD1CC}"/>
            </a:ext>
          </a:extLst>
        </xdr:cNvPr>
        <xdr:cNvSpPr txBox="1"/>
      </xdr:nvSpPr>
      <xdr:spPr>
        <a:xfrm>
          <a:off x="9758266" y="2177143"/>
          <a:ext cx="660918" cy="2721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AF80417-D069-448C-AAE4-B0A961D70425}" type="TxLink">
            <a:rPr lang="en-US" sz="1600" b="1" i="0" u="none" strike="noStrike">
              <a:solidFill>
                <a:srgbClr val="000000"/>
              </a:solidFill>
              <a:latin typeface="Calibri"/>
              <a:ea typeface="Calibri"/>
              <a:cs typeface="Calibri"/>
            </a:rPr>
            <a:pPr algn="ctr"/>
            <a:t>100</a:t>
          </a:fld>
          <a:endParaRPr lang="en-IN" sz="1600" b="1"/>
        </a:p>
      </xdr:txBody>
    </xdr:sp>
    <xdr:clientData/>
  </xdr:oneCellAnchor>
  <xdr:oneCellAnchor>
    <xdr:from>
      <xdr:col>19</xdr:col>
      <xdr:colOff>171061</xdr:colOff>
      <xdr:row>11</xdr:row>
      <xdr:rowOff>148588</xdr:rowOff>
    </xdr:from>
    <xdr:ext cx="849395" cy="272144"/>
    <xdr:sp macro="" textlink="C53">
      <xdr:nvSpPr>
        <xdr:cNvPr id="14" name="TextBox 13">
          <a:extLst>
            <a:ext uri="{FF2B5EF4-FFF2-40B4-BE49-F238E27FC236}">
              <a16:creationId xmlns:a16="http://schemas.microsoft.com/office/drawing/2014/main" id="{74F4B702-22F4-41AF-B5F8-DD6FF0056912}"/>
            </a:ext>
          </a:extLst>
        </xdr:cNvPr>
        <xdr:cNvSpPr txBox="1"/>
      </xdr:nvSpPr>
      <xdr:spPr>
        <a:xfrm>
          <a:off x="11694367" y="2201323"/>
          <a:ext cx="849395" cy="2721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2D423B5-0923-40FA-BBB0-3220B2C242E7}" type="TxLink">
            <a:rPr lang="en-US" sz="1600" b="1" i="0" u="none" strike="noStrike">
              <a:solidFill>
                <a:srgbClr val="000000"/>
              </a:solidFill>
              <a:latin typeface="Calibri"/>
              <a:ea typeface="Calibri"/>
              <a:cs typeface="Calibri"/>
            </a:rPr>
            <a:pPr algn="ctr"/>
            <a:t>238181</a:t>
          </a:fld>
          <a:endParaRPr lang="en-IN" sz="1600" b="1"/>
        </a:p>
      </xdr:txBody>
    </xdr:sp>
    <xdr:clientData/>
  </xdr:oneCellAnchor>
  <xdr:oneCellAnchor>
    <xdr:from>
      <xdr:col>15</xdr:col>
      <xdr:colOff>530601</xdr:colOff>
      <xdr:row>15</xdr:row>
      <xdr:rowOff>140811</xdr:rowOff>
    </xdr:from>
    <xdr:ext cx="884542" cy="272144"/>
    <xdr:sp macro="" textlink="D53">
      <xdr:nvSpPr>
        <xdr:cNvPr id="15" name="TextBox 14">
          <a:extLst>
            <a:ext uri="{FF2B5EF4-FFF2-40B4-BE49-F238E27FC236}">
              <a16:creationId xmlns:a16="http://schemas.microsoft.com/office/drawing/2014/main" id="{B40BBE2B-BC43-419E-B678-E1AA78C6B2D8}"/>
            </a:ext>
          </a:extLst>
        </xdr:cNvPr>
        <xdr:cNvSpPr txBox="1"/>
      </xdr:nvSpPr>
      <xdr:spPr>
        <a:xfrm>
          <a:off x="9627948" y="2939995"/>
          <a:ext cx="884542" cy="2721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AC27627-7155-45D9-9954-078B2F17023C}" type="TxLink">
            <a:rPr lang="en-US" sz="1600" b="1" i="0" u="none" strike="noStrike">
              <a:solidFill>
                <a:srgbClr val="000000"/>
              </a:solidFill>
              <a:latin typeface="Calibri"/>
              <a:ea typeface="Calibri"/>
              <a:cs typeface="Calibri"/>
            </a:rPr>
            <a:pPr algn="ctr"/>
            <a:t>20266</a:t>
          </a:fld>
          <a:endParaRPr lang="en-IN" sz="1600" b="1"/>
        </a:p>
      </xdr:txBody>
    </xdr:sp>
    <xdr:clientData/>
  </xdr:oneCellAnchor>
  <xdr:oneCellAnchor>
    <xdr:from>
      <xdr:col>19</xdr:col>
      <xdr:colOff>157376</xdr:colOff>
      <xdr:row>15</xdr:row>
      <xdr:rowOff>140811</xdr:rowOff>
    </xdr:from>
    <xdr:ext cx="830114" cy="272144"/>
    <xdr:sp macro="" textlink="E53">
      <xdr:nvSpPr>
        <xdr:cNvPr id="16" name="TextBox 15">
          <a:extLst>
            <a:ext uri="{FF2B5EF4-FFF2-40B4-BE49-F238E27FC236}">
              <a16:creationId xmlns:a16="http://schemas.microsoft.com/office/drawing/2014/main" id="{2B19016C-A91D-40C5-B6AE-B8A50784B59C}"/>
            </a:ext>
          </a:extLst>
        </xdr:cNvPr>
        <xdr:cNvSpPr txBox="1"/>
      </xdr:nvSpPr>
      <xdr:spPr>
        <a:xfrm>
          <a:off x="11680682" y="2939995"/>
          <a:ext cx="830114" cy="2721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6BEC7D0-C451-4C22-97D5-3A112A435A77}" type="TxLink">
            <a:rPr lang="en-US" sz="1600" b="1" i="0" u="none" strike="noStrike">
              <a:solidFill>
                <a:srgbClr val="000000"/>
              </a:solidFill>
              <a:latin typeface="Calibri"/>
              <a:ea typeface="Calibri"/>
              <a:cs typeface="Calibri"/>
            </a:rPr>
            <a:pPr algn="ctr"/>
            <a:t>41565</a:t>
          </a:fld>
          <a:endParaRPr lang="en-IN" sz="1600" b="1"/>
        </a:p>
      </xdr:txBody>
    </xdr:sp>
    <xdr:clientData/>
  </xdr:oneCellAnchor>
  <xdr:twoCellAnchor>
    <xdr:from>
      <xdr:col>4</xdr:col>
      <xdr:colOff>515050</xdr:colOff>
      <xdr:row>18</xdr:row>
      <xdr:rowOff>86382</xdr:rowOff>
    </xdr:from>
    <xdr:to>
      <xdr:col>10</xdr:col>
      <xdr:colOff>225491</xdr:colOff>
      <xdr:row>31</xdr:row>
      <xdr:rowOff>42332</xdr:rowOff>
    </xdr:to>
    <xdr:graphicFrame macro="">
      <xdr:nvGraphicFramePr>
        <xdr:cNvPr id="22" name="Chart 21">
          <a:extLst>
            <a:ext uri="{FF2B5EF4-FFF2-40B4-BE49-F238E27FC236}">
              <a16:creationId xmlns:a16="http://schemas.microsoft.com/office/drawing/2014/main" id="{8F912FBE-DF74-4A74-8741-D467858D1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411376</xdr:colOff>
      <xdr:row>18</xdr:row>
      <xdr:rowOff>94461</xdr:rowOff>
    </xdr:from>
    <xdr:to>
      <xdr:col>16</xdr:col>
      <xdr:colOff>25400</xdr:colOff>
      <xdr:row>31</xdr:row>
      <xdr:rowOff>52916</xdr:rowOff>
    </xdr:to>
    <xdr:graphicFrame macro="">
      <xdr:nvGraphicFramePr>
        <xdr:cNvPr id="23" name="Chart 22">
          <a:extLst>
            <a:ext uri="{FF2B5EF4-FFF2-40B4-BE49-F238E27FC236}">
              <a16:creationId xmlns:a16="http://schemas.microsoft.com/office/drawing/2014/main" id="{FF1E2607-6F64-48B7-B8DC-31FA7E856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154353</xdr:colOff>
      <xdr:row>18</xdr:row>
      <xdr:rowOff>62409</xdr:rowOff>
    </xdr:from>
    <xdr:to>
      <xdr:col>21</xdr:col>
      <xdr:colOff>105834</xdr:colOff>
      <xdr:row>31</xdr:row>
      <xdr:rowOff>88348</xdr:rowOff>
    </xdr:to>
    <xdr:graphicFrame macro="">
      <xdr:nvGraphicFramePr>
        <xdr:cNvPr id="24" name="Chart 23">
          <a:extLst>
            <a:ext uri="{FF2B5EF4-FFF2-40B4-BE49-F238E27FC236}">
              <a16:creationId xmlns:a16="http://schemas.microsoft.com/office/drawing/2014/main" id="{78F2E374-7D8C-4DA3-AD7A-2DDFDD267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522394</xdr:colOff>
      <xdr:row>32</xdr:row>
      <xdr:rowOff>116417</xdr:rowOff>
    </xdr:from>
    <xdr:to>
      <xdr:col>10</xdr:col>
      <xdr:colOff>158750</xdr:colOff>
      <xdr:row>47</xdr:row>
      <xdr:rowOff>131379</xdr:rowOff>
    </xdr:to>
    <xdr:graphicFrame macro="">
      <xdr:nvGraphicFramePr>
        <xdr:cNvPr id="25" name="Chart 24">
          <a:extLst>
            <a:ext uri="{FF2B5EF4-FFF2-40B4-BE49-F238E27FC236}">
              <a16:creationId xmlns:a16="http://schemas.microsoft.com/office/drawing/2014/main" id="{DB1DE89C-C034-4AA3-8AB8-D036EF60F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268392</xdr:colOff>
      <xdr:row>32</xdr:row>
      <xdr:rowOff>125260</xdr:rowOff>
    </xdr:from>
    <xdr:to>
      <xdr:col>16</xdr:col>
      <xdr:colOff>148167</xdr:colOff>
      <xdr:row>47</xdr:row>
      <xdr:rowOff>105103</xdr:rowOff>
    </xdr:to>
    <xdr:graphicFrame macro="">
      <xdr:nvGraphicFramePr>
        <xdr:cNvPr id="28" name="Chart 27">
          <a:extLst>
            <a:ext uri="{FF2B5EF4-FFF2-40B4-BE49-F238E27FC236}">
              <a16:creationId xmlns:a16="http://schemas.microsoft.com/office/drawing/2014/main" id="{F02555AD-3EA1-46C1-B6EC-3E95CF45A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243417</xdr:colOff>
      <xdr:row>32</xdr:row>
      <xdr:rowOff>114677</xdr:rowOff>
    </xdr:from>
    <xdr:to>
      <xdr:col>21</xdr:col>
      <xdr:colOff>190500</xdr:colOff>
      <xdr:row>47</xdr:row>
      <xdr:rowOff>159127</xdr:rowOff>
    </xdr:to>
    <xdr:graphicFrame macro="">
      <xdr:nvGraphicFramePr>
        <xdr:cNvPr id="32" name="Chart 31">
          <a:extLst>
            <a:ext uri="{FF2B5EF4-FFF2-40B4-BE49-F238E27FC236}">
              <a16:creationId xmlns:a16="http://schemas.microsoft.com/office/drawing/2014/main" id="{58F0363D-0F64-43BA-B8B5-BA23C0B80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411421</xdr:colOff>
      <xdr:row>18</xdr:row>
      <xdr:rowOff>67358</xdr:rowOff>
    </xdr:from>
    <xdr:to>
      <xdr:col>4</xdr:col>
      <xdr:colOff>210206</xdr:colOff>
      <xdr:row>26</xdr:row>
      <xdr:rowOff>1</xdr:rowOff>
    </xdr:to>
    <mc:AlternateContent xmlns:mc="http://schemas.openxmlformats.org/markup-compatibility/2006" xmlns:a14="http://schemas.microsoft.com/office/drawing/2010/main">
      <mc:Choice Requires="a14">
        <xdr:graphicFrame macro="">
          <xdr:nvGraphicFramePr>
            <xdr:cNvPr id="33" name="platform">
              <a:extLst>
                <a:ext uri="{FF2B5EF4-FFF2-40B4-BE49-F238E27FC236}">
                  <a16:creationId xmlns:a16="http://schemas.microsoft.com/office/drawing/2014/main" id="{D0A5A369-623C-4C80-9382-390B348CB0CE}"/>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021021" y="3388074"/>
              <a:ext cx="1627585" cy="1408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420180</xdr:colOff>
      <xdr:row>28</xdr:row>
      <xdr:rowOff>111151</xdr:rowOff>
    </xdr:from>
    <xdr:to>
      <xdr:col>4</xdr:col>
      <xdr:colOff>201448</xdr:colOff>
      <xdr:row>39</xdr:row>
      <xdr:rowOff>43794</xdr:rowOff>
    </xdr:to>
    <mc:AlternateContent xmlns:mc="http://schemas.openxmlformats.org/markup-compatibility/2006" xmlns:a14="http://schemas.microsoft.com/office/drawing/2010/main">
      <mc:Choice Requires="a14">
        <xdr:graphicFrame macro="">
          <xdr:nvGraphicFramePr>
            <xdr:cNvPr id="34" name="post_type">
              <a:extLst>
                <a:ext uri="{FF2B5EF4-FFF2-40B4-BE49-F238E27FC236}">
                  <a16:creationId xmlns:a16="http://schemas.microsoft.com/office/drawing/2014/main" id="{126A7B70-7668-4BE6-8AB4-1E41E824858A}"/>
                </a:ext>
              </a:extLst>
            </xdr:cNvPr>
            <xdr:cNvGraphicFramePr/>
          </xdr:nvGraphicFramePr>
          <xdr:xfrm>
            <a:off x="0" y="0"/>
            <a:ext cx="0" cy="0"/>
          </xdr:xfrm>
          <a:graphic>
            <a:graphicData uri="http://schemas.microsoft.com/office/drawing/2010/slicer">
              <sle:slicer xmlns:sle="http://schemas.microsoft.com/office/drawing/2010/slicer" name="post_type"/>
            </a:graphicData>
          </a:graphic>
        </xdr:graphicFrame>
      </mc:Choice>
      <mc:Fallback xmlns="">
        <xdr:sp macro="" textlink="">
          <xdr:nvSpPr>
            <xdr:cNvPr id="0" name=""/>
            <xdr:cNvSpPr>
              <a:spLocks noTextEdit="1"/>
            </xdr:cNvSpPr>
          </xdr:nvSpPr>
          <xdr:spPr>
            <a:xfrm>
              <a:off x="1029780" y="5276709"/>
              <a:ext cx="1610068" cy="1961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525517</xdr:colOff>
      <xdr:row>17</xdr:row>
      <xdr:rowOff>175172</xdr:rowOff>
    </xdr:from>
    <xdr:to>
      <xdr:col>24</xdr:col>
      <xdr:colOff>227723</xdr:colOff>
      <xdr:row>26</xdr:row>
      <xdr:rowOff>61311</xdr:rowOff>
    </xdr:to>
    <mc:AlternateContent xmlns:mc="http://schemas.openxmlformats.org/markup-compatibility/2006" xmlns:a14="http://schemas.microsoft.com/office/drawing/2010/main">
      <mc:Choice Requires="a14">
        <xdr:graphicFrame macro="">
          <xdr:nvGraphicFramePr>
            <xdr:cNvPr id="35" name="sentiment_score">
              <a:extLst>
                <a:ext uri="{FF2B5EF4-FFF2-40B4-BE49-F238E27FC236}">
                  <a16:creationId xmlns:a16="http://schemas.microsoft.com/office/drawing/2014/main" id="{7B1A551E-27E4-4DF5-8EC1-1F372AA4F0F6}"/>
                </a:ext>
              </a:extLst>
            </xdr:cNvPr>
            <xdr:cNvGraphicFramePr/>
          </xdr:nvGraphicFramePr>
          <xdr:xfrm>
            <a:off x="0" y="0"/>
            <a:ext cx="0" cy="0"/>
          </xdr:xfrm>
          <a:graphic>
            <a:graphicData uri="http://schemas.microsoft.com/office/drawing/2010/slicer">
              <sle:slicer xmlns:sle="http://schemas.microsoft.com/office/drawing/2010/slicer" name="sentiment_score"/>
            </a:graphicData>
          </a:graphic>
        </xdr:graphicFrame>
      </mc:Choice>
      <mc:Fallback xmlns="">
        <xdr:sp macro="" textlink="">
          <xdr:nvSpPr>
            <xdr:cNvPr id="0" name=""/>
            <xdr:cNvSpPr>
              <a:spLocks noTextEdit="1"/>
            </xdr:cNvSpPr>
          </xdr:nvSpPr>
          <xdr:spPr>
            <a:xfrm>
              <a:off x="13327117" y="3311404"/>
              <a:ext cx="1531006" cy="1546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550831</xdr:colOff>
      <xdr:row>28</xdr:row>
      <xdr:rowOff>79400</xdr:rowOff>
    </xdr:from>
    <xdr:to>
      <xdr:col>24</xdr:col>
      <xdr:colOff>236483</xdr:colOff>
      <xdr:row>41</xdr:row>
      <xdr:rowOff>70070</xdr:rowOff>
    </xdr:to>
    <mc:AlternateContent xmlns:mc="http://schemas.openxmlformats.org/markup-compatibility/2006" xmlns:a14="http://schemas.microsoft.com/office/drawing/2010/main">
      <mc:Choice Requires="a14">
        <xdr:graphicFrame macro="">
          <xdr:nvGraphicFramePr>
            <xdr:cNvPr id="36" name="post_day">
              <a:extLst>
                <a:ext uri="{FF2B5EF4-FFF2-40B4-BE49-F238E27FC236}">
                  <a16:creationId xmlns:a16="http://schemas.microsoft.com/office/drawing/2014/main" id="{1CABD4FB-BB73-40A0-BE77-9B025D47592B}"/>
                </a:ext>
              </a:extLst>
            </xdr:cNvPr>
            <xdr:cNvGraphicFramePr/>
          </xdr:nvGraphicFramePr>
          <xdr:xfrm>
            <a:off x="0" y="0"/>
            <a:ext cx="0" cy="0"/>
          </xdr:xfrm>
          <a:graphic>
            <a:graphicData uri="http://schemas.microsoft.com/office/drawing/2010/slicer">
              <sle:slicer xmlns:sle="http://schemas.microsoft.com/office/drawing/2010/slicer" name="post_day"/>
            </a:graphicData>
          </a:graphic>
        </xdr:graphicFrame>
      </mc:Choice>
      <mc:Fallback xmlns="">
        <xdr:sp macro="" textlink="">
          <xdr:nvSpPr>
            <xdr:cNvPr id="0" name=""/>
            <xdr:cNvSpPr>
              <a:spLocks noTextEdit="1"/>
            </xdr:cNvSpPr>
          </xdr:nvSpPr>
          <xdr:spPr>
            <a:xfrm>
              <a:off x="13352431" y="5244958"/>
              <a:ext cx="1514452" cy="2388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566354</xdr:colOff>
      <xdr:row>10</xdr:row>
      <xdr:rowOff>21054</xdr:rowOff>
    </xdr:from>
    <xdr:to>
      <xdr:col>14</xdr:col>
      <xdr:colOff>195385</xdr:colOff>
      <xdr:row>17</xdr:row>
      <xdr:rowOff>93346</xdr:rowOff>
    </xdr:to>
    <mc:AlternateContent xmlns:mc="http://schemas.openxmlformats.org/markup-compatibility/2006" xmlns:tsle="http://schemas.microsoft.com/office/drawing/2012/timeslicer">
      <mc:Choice Requires="tsle">
        <xdr:graphicFrame macro="">
          <xdr:nvGraphicFramePr>
            <xdr:cNvPr id="4" name="post_time">
              <a:extLst>
                <a:ext uri="{FF2B5EF4-FFF2-40B4-BE49-F238E27FC236}">
                  <a16:creationId xmlns:a16="http://schemas.microsoft.com/office/drawing/2014/main" id="{AE31582D-FA34-4213-ABE5-8202C6AD3F5C}"/>
                </a:ext>
              </a:extLst>
            </xdr:cNvPr>
            <xdr:cNvGraphicFramePr/>
          </xdr:nvGraphicFramePr>
          <xdr:xfrm>
            <a:off x="0" y="0"/>
            <a:ext cx="0" cy="0"/>
          </xdr:xfrm>
          <a:graphic>
            <a:graphicData uri="http://schemas.microsoft.com/office/drawing/2012/timeslicer">
              <tsle:timeslicer name="post_time"/>
            </a:graphicData>
          </a:graphic>
        </xdr:graphicFrame>
      </mc:Choice>
      <mc:Fallback xmlns="">
        <xdr:sp macro="" textlink="">
          <xdr:nvSpPr>
            <xdr:cNvPr id="0" name=""/>
            <xdr:cNvSpPr>
              <a:spLocks noTextEdit="1"/>
            </xdr:cNvSpPr>
          </xdr:nvSpPr>
          <xdr:spPr>
            <a:xfrm>
              <a:off x="2989123" y="1877208"/>
              <a:ext cx="5685954"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refreshedDate="46234.518087731478" createdVersion="8" refreshedVersion="8" minRefreshableVersion="3" recordCount="100" xr:uid="{BAD989BA-8801-43CE-8758-230DE128DD18}">
  <cacheSource type="worksheet">
    <worksheetSource ref="A1:I101" sheet="social_media_engagement1"/>
  </cacheSource>
  <cacheFields count="9">
    <cacheField name="post_id" numFmtId="0">
      <sharedItems containsSemiMixedTypes="0" containsString="0" containsNumber="1" containsInteger="1" minValue="1" maxValue="100"/>
    </cacheField>
    <cacheField name="platform" numFmtId="0">
      <sharedItems count="3">
        <s v="Facebook"/>
        <s v="Instagram"/>
        <s v="Twitter"/>
      </sharedItems>
    </cacheField>
    <cacheField name="post_type" numFmtId="0">
      <sharedItems count="5">
        <s v="image"/>
        <s v="carousel"/>
        <s v="poll"/>
        <s v="video"/>
        <s v="text"/>
      </sharedItems>
    </cacheField>
    <cacheField name="post_time" numFmtId="0">
      <sharedItems containsSemiMixedTypes="0" containsNonDate="0" containsDate="1" containsString="0" minDate="2023-01-01T06:00:00" maxDate="2023-12-31T22:30:00" count="99">
        <d v="2023-08-17T14:45:00"/>
        <d v="2023-05-14T00:45:00"/>
        <d v="2023-02-21T16:15:00"/>
        <d v="2023-11-16T00:45:00"/>
        <d v="2023-05-23T00:30:00"/>
        <d v="2023-05-05T20:00:00"/>
        <d v="2023-02-26T11:45:00"/>
        <d v="2023-10-28T19:30:00"/>
        <d v="2023-02-05T06:15:00"/>
        <d v="2023-11-05T11:00:00"/>
        <d v="2023-08-12T02:15:00"/>
        <d v="2023-06-15T03:15:00"/>
        <d v="2023-11-11T15:45:00"/>
        <d v="2023-09-30T10:30:00"/>
        <d v="2023-09-01T20:00:00"/>
        <d v="2023-10-02T13:00:00"/>
        <d v="2023-05-07T05:15:00"/>
        <d v="2023-07-23T05:45:00"/>
        <d v="2023-11-20T02:00:00"/>
        <d v="2023-02-02T16:00:00"/>
        <d v="2023-01-30T13:30:00"/>
        <d v="2023-02-10T12:15:00"/>
        <d v="2023-01-01T20:00:00"/>
        <d v="2023-05-17T00:15:00"/>
        <d v="2023-05-10T06:30:00"/>
        <d v="2023-06-10T10:00:00"/>
        <d v="2023-01-03T08:00:00"/>
        <d v="2023-07-01T10:30:00"/>
        <d v="2023-03-02T00:30:00"/>
        <d v="2023-10-09T13:45:00"/>
        <d v="2023-01-07T14:45:00"/>
        <d v="2023-09-27T19:00:00"/>
        <d v="2023-09-02T15:30:00"/>
        <d v="2023-06-06T19:30:00"/>
        <d v="2023-08-04T19:15:00"/>
        <d v="2023-11-05T00:30:00"/>
        <d v="2023-02-05T00:30:00"/>
        <d v="2023-01-01T06:00:00"/>
        <d v="2023-04-08T12:45:00"/>
        <d v="2023-12-27T11:30:00"/>
        <d v="2023-11-23T02:00:00"/>
        <d v="2023-03-31T16:00:00"/>
        <d v="2023-06-07T08:00:00"/>
        <d v="2023-01-12T10:00:00"/>
        <d v="2023-05-16T22:15:00"/>
        <d v="2023-08-08T17:45:00"/>
        <d v="2023-03-22T03:15:00"/>
        <d v="2023-04-17T15:00:00"/>
        <d v="2023-12-07T00:00:00"/>
        <d v="2023-02-14T18:00:00"/>
        <d v="2023-07-14T15:00:00"/>
        <d v="2023-12-11T17:30:00"/>
        <d v="2023-01-21T01:00:00"/>
        <d v="2023-02-10T23:30:00"/>
        <d v="2023-03-13T23:15:00"/>
        <d v="2023-07-13T09:15:00"/>
        <d v="2023-12-27T04:00:00"/>
        <d v="2023-12-24T07:45:00"/>
        <d v="2023-05-19T04:30:00"/>
        <d v="2023-12-31T22:30:00"/>
        <d v="2023-01-27T15:45:00"/>
        <d v="2023-05-15T06:30:00"/>
        <d v="2023-04-19T19:45:00"/>
        <d v="2023-09-20T06:00:00"/>
        <d v="2023-03-01T03:00:00"/>
        <d v="2023-04-23T08:15:00"/>
        <d v="2023-12-28T16:45:00"/>
        <d v="2023-10-14T18:45:00"/>
        <d v="2023-12-06T09:30:00"/>
        <d v="2023-10-04T00:00:00"/>
        <d v="2023-05-05T16:45:00"/>
        <d v="2023-07-18T22:00:00"/>
        <d v="2023-04-14T10:30:00"/>
        <d v="2023-07-26T20:15:00"/>
        <d v="2023-07-27T19:15:00"/>
        <d v="2023-05-07T18:15:00"/>
        <d v="2023-01-19T07:15:00"/>
        <d v="2023-12-13T04:45:00"/>
        <d v="2023-06-25T15:15:00"/>
        <d v="2023-04-01T18:30:00"/>
        <d v="2023-11-19T12:30:00"/>
        <d v="2023-06-12T04:00:00"/>
        <d v="2023-03-10T19:00:00"/>
        <d v="2023-06-07T07:00:00"/>
        <d v="2023-11-25T07:30:00"/>
        <d v="2023-05-23T22:30:00"/>
        <d v="2023-03-05T12:30:00"/>
        <d v="2023-03-05T08:00:00"/>
        <d v="2023-03-19T04:00:00"/>
        <d v="2023-09-15T00:45:00"/>
        <d v="2023-02-23T17:15:00"/>
        <d v="2023-07-05T00:30:00"/>
        <d v="2023-11-27T04:30:00"/>
        <d v="2023-07-03T19:15:00"/>
        <d v="2023-12-07T17:45:00"/>
        <d v="2023-10-27T23:45:00"/>
        <d v="2023-05-08T08:45:00"/>
        <d v="2023-12-29T12:15:00"/>
        <d v="2023-06-06T21:00:00"/>
      </sharedItems>
    </cacheField>
    <cacheField name="likes" numFmtId="0">
      <sharedItems containsSemiMixedTypes="0" containsString="0" containsNumber="1" containsInteger="1" minValue="15" maxValue="5000"/>
    </cacheField>
    <cacheField name="comments" numFmtId="0">
      <sharedItems containsSemiMixedTypes="0" containsString="0" containsNumber="1" containsInteger="1" minValue="10" maxValue="500"/>
    </cacheField>
    <cacheField name="shares" numFmtId="0">
      <sharedItems containsSemiMixedTypes="0" containsString="0" containsNumber="1" containsInteger="1" minValue="16" maxValue="993"/>
    </cacheField>
    <cacheField name="post_day" numFmtId="0">
      <sharedItems count="7">
        <s v="Thursday"/>
        <s v="Sunday"/>
        <s v="Tuesday"/>
        <s v="Friday"/>
        <s v="Saturday"/>
        <s v="Monday"/>
        <s v="Wednesday"/>
      </sharedItems>
    </cacheField>
    <cacheField name="sentiment_score" numFmtId="0">
      <sharedItems count="3">
        <s v="positive"/>
        <s v="neutral"/>
        <s v="negative"/>
      </sharedItems>
    </cacheField>
  </cacheFields>
  <extLst>
    <ext xmlns:x14="http://schemas.microsoft.com/office/spreadsheetml/2009/9/main" uri="{725AE2AE-9491-48be-B2B4-4EB974FC3084}">
      <x14:pivotCacheDefinition pivotCacheId="15898262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x v="0"/>
    <x v="0"/>
    <n v="2121"/>
    <n v="474"/>
    <n v="628"/>
    <x v="0"/>
    <x v="0"/>
  </r>
  <r>
    <n v="2"/>
    <x v="0"/>
    <x v="1"/>
    <x v="1"/>
    <n v="3660"/>
    <n v="432"/>
    <n v="694"/>
    <x v="1"/>
    <x v="1"/>
  </r>
  <r>
    <n v="3"/>
    <x v="1"/>
    <x v="2"/>
    <x v="2"/>
    <n v="4955"/>
    <n v="408"/>
    <n v="688"/>
    <x v="2"/>
    <x v="2"/>
  </r>
  <r>
    <n v="4"/>
    <x v="2"/>
    <x v="0"/>
    <x v="3"/>
    <n v="1183"/>
    <n v="90"/>
    <n v="187"/>
    <x v="0"/>
    <x v="2"/>
  </r>
  <r>
    <n v="5"/>
    <x v="2"/>
    <x v="3"/>
    <x v="4"/>
    <n v="3499"/>
    <n v="247"/>
    <n v="286"/>
    <x v="2"/>
    <x v="0"/>
  </r>
  <r>
    <n v="6"/>
    <x v="1"/>
    <x v="1"/>
    <x v="5"/>
    <n v="256"/>
    <n v="186"/>
    <n v="211"/>
    <x v="3"/>
    <x v="1"/>
  </r>
  <r>
    <n v="7"/>
    <x v="1"/>
    <x v="0"/>
    <x v="6"/>
    <n v="1982"/>
    <n v="30"/>
    <n v="906"/>
    <x v="1"/>
    <x v="0"/>
  </r>
  <r>
    <n v="8"/>
    <x v="1"/>
    <x v="4"/>
    <x v="7"/>
    <n v="1274"/>
    <n v="45"/>
    <n v="216"/>
    <x v="4"/>
    <x v="1"/>
  </r>
  <r>
    <n v="9"/>
    <x v="0"/>
    <x v="3"/>
    <x v="8"/>
    <n v="317"/>
    <n v="249"/>
    <n v="221"/>
    <x v="2"/>
    <x v="1"/>
  </r>
  <r>
    <n v="10"/>
    <x v="2"/>
    <x v="1"/>
    <x v="9"/>
    <n v="1878"/>
    <n v="225"/>
    <n v="438"/>
    <x v="0"/>
    <x v="1"/>
  </r>
  <r>
    <n v="11"/>
    <x v="2"/>
    <x v="4"/>
    <x v="10"/>
    <n v="1446"/>
    <n v="44"/>
    <n v="52"/>
    <x v="3"/>
    <x v="2"/>
  </r>
  <r>
    <n v="12"/>
    <x v="2"/>
    <x v="3"/>
    <x v="11"/>
    <n v="304"/>
    <n v="42"/>
    <n v="89"/>
    <x v="0"/>
    <x v="0"/>
  </r>
  <r>
    <n v="13"/>
    <x v="0"/>
    <x v="1"/>
    <x v="12"/>
    <n v="45"/>
    <n v="78"/>
    <n v="375"/>
    <x v="4"/>
    <x v="2"/>
  </r>
  <r>
    <n v="14"/>
    <x v="2"/>
    <x v="4"/>
    <x v="13"/>
    <n v="1333"/>
    <n v="144"/>
    <n v="123"/>
    <x v="4"/>
    <x v="0"/>
  </r>
  <r>
    <n v="15"/>
    <x v="0"/>
    <x v="1"/>
    <x v="14"/>
    <n v="889"/>
    <n v="314"/>
    <n v="262"/>
    <x v="5"/>
    <x v="0"/>
  </r>
  <r>
    <n v="16"/>
    <x v="2"/>
    <x v="0"/>
    <x v="15"/>
    <n v="2348"/>
    <n v="154"/>
    <n v="18"/>
    <x v="3"/>
    <x v="1"/>
  </r>
  <r>
    <n v="17"/>
    <x v="1"/>
    <x v="2"/>
    <x v="16"/>
    <n v="2872"/>
    <n v="10"/>
    <n v="736"/>
    <x v="6"/>
    <x v="0"/>
  </r>
  <r>
    <n v="18"/>
    <x v="2"/>
    <x v="4"/>
    <x v="17"/>
    <n v="512"/>
    <n v="123"/>
    <n v="338"/>
    <x v="1"/>
    <x v="1"/>
  </r>
  <r>
    <n v="19"/>
    <x v="2"/>
    <x v="4"/>
    <x v="18"/>
    <n v="2013"/>
    <n v="122"/>
    <n v="183"/>
    <x v="5"/>
    <x v="0"/>
  </r>
  <r>
    <n v="20"/>
    <x v="0"/>
    <x v="0"/>
    <x v="19"/>
    <n v="455"/>
    <n v="86"/>
    <n v="79"/>
    <x v="0"/>
    <x v="0"/>
  </r>
  <r>
    <n v="21"/>
    <x v="2"/>
    <x v="2"/>
    <x v="8"/>
    <n v="559"/>
    <n v="136"/>
    <n v="55"/>
    <x v="2"/>
    <x v="1"/>
  </r>
  <r>
    <n v="22"/>
    <x v="2"/>
    <x v="1"/>
    <x v="20"/>
    <n v="1961"/>
    <n v="44"/>
    <n v="439"/>
    <x v="5"/>
    <x v="0"/>
  </r>
  <r>
    <n v="23"/>
    <x v="2"/>
    <x v="4"/>
    <x v="21"/>
    <n v="332"/>
    <n v="109"/>
    <n v="348"/>
    <x v="5"/>
    <x v="0"/>
  </r>
  <r>
    <n v="24"/>
    <x v="1"/>
    <x v="1"/>
    <x v="22"/>
    <n v="5000"/>
    <n v="80"/>
    <n v="399"/>
    <x v="1"/>
    <x v="0"/>
  </r>
  <r>
    <n v="25"/>
    <x v="2"/>
    <x v="2"/>
    <x v="23"/>
    <n v="898"/>
    <n v="130"/>
    <n v="480"/>
    <x v="6"/>
    <x v="0"/>
  </r>
  <r>
    <n v="26"/>
    <x v="0"/>
    <x v="1"/>
    <x v="24"/>
    <n v="1992"/>
    <n v="70"/>
    <n v="515"/>
    <x v="0"/>
    <x v="2"/>
  </r>
  <r>
    <n v="27"/>
    <x v="1"/>
    <x v="4"/>
    <x v="25"/>
    <n v="3161"/>
    <n v="162"/>
    <n v="137"/>
    <x v="3"/>
    <x v="0"/>
  </r>
  <r>
    <n v="28"/>
    <x v="0"/>
    <x v="2"/>
    <x v="26"/>
    <n v="2083"/>
    <n v="500"/>
    <n v="388"/>
    <x v="6"/>
    <x v="1"/>
  </r>
  <r>
    <n v="29"/>
    <x v="0"/>
    <x v="0"/>
    <x v="27"/>
    <n v="548"/>
    <n v="153"/>
    <n v="731"/>
    <x v="4"/>
    <x v="2"/>
  </r>
  <r>
    <n v="30"/>
    <x v="0"/>
    <x v="1"/>
    <x v="28"/>
    <n v="4594"/>
    <n v="216"/>
    <n v="739"/>
    <x v="3"/>
    <x v="0"/>
  </r>
  <r>
    <n v="31"/>
    <x v="0"/>
    <x v="2"/>
    <x v="29"/>
    <n v="4795"/>
    <n v="449"/>
    <n v="978"/>
    <x v="1"/>
    <x v="2"/>
  </r>
  <r>
    <n v="32"/>
    <x v="1"/>
    <x v="0"/>
    <x v="30"/>
    <n v="4665"/>
    <n v="202"/>
    <n v="183"/>
    <x v="4"/>
    <x v="0"/>
  </r>
  <r>
    <n v="33"/>
    <x v="2"/>
    <x v="3"/>
    <x v="31"/>
    <n v="119"/>
    <n v="147"/>
    <n v="240"/>
    <x v="6"/>
    <x v="0"/>
  </r>
  <r>
    <n v="34"/>
    <x v="2"/>
    <x v="2"/>
    <x v="32"/>
    <n v="2253"/>
    <n v="162"/>
    <n v="28"/>
    <x v="0"/>
    <x v="0"/>
  </r>
  <r>
    <n v="35"/>
    <x v="1"/>
    <x v="0"/>
    <x v="33"/>
    <n v="1309"/>
    <n v="201"/>
    <n v="852"/>
    <x v="2"/>
    <x v="2"/>
  </r>
  <r>
    <n v="36"/>
    <x v="0"/>
    <x v="3"/>
    <x v="34"/>
    <n v="5000"/>
    <n v="500"/>
    <n v="43"/>
    <x v="4"/>
    <x v="0"/>
  </r>
  <r>
    <n v="37"/>
    <x v="0"/>
    <x v="3"/>
    <x v="35"/>
    <n v="4245"/>
    <n v="59"/>
    <n v="83"/>
    <x v="0"/>
    <x v="1"/>
  </r>
  <r>
    <n v="38"/>
    <x v="2"/>
    <x v="2"/>
    <x v="36"/>
    <n v="2463"/>
    <n v="187"/>
    <n v="445"/>
    <x v="2"/>
    <x v="0"/>
  </r>
  <r>
    <n v="39"/>
    <x v="0"/>
    <x v="3"/>
    <x v="37"/>
    <n v="5000"/>
    <n v="430"/>
    <n v="980"/>
    <x v="1"/>
    <x v="1"/>
  </r>
  <r>
    <n v="40"/>
    <x v="1"/>
    <x v="1"/>
    <x v="38"/>
    <n v="447"/>
    <n v="333"/>
    <n v="845"/>
    <x v="3"/>
    <x v="2"/>
  </r>
  <r>
    <n v="41"/>
    <x v="2"/>
    <x v="1"/>
    <x v="39"/>
    <n v="667"/>
    <n v="176"/>
    <n v="461"/>
    <x v="6"/>
    <x v="0"/>
  </r>
  <r>
    <n v="42"/>
    <x v="1"/>
    <x v="3"/>
    <x v="40"/>
    <n v="4929"/>
    <n v="252"/>
    <n v="730"/>
    <x v="0"/>
    <x v="2"/>
  </r>
  <r>
    <n v="43"/>
    <x v="2"/>
    <x v="1"/>
    <x v="41"/>
    <n v="2586"/>
    <n v="97"/>
    <n v="85"/>
    <x v="3"/>
    <x v="0"/>
  </r>
  <r>
    <n v="44"/>
    <x v="1"/>
    <x v="4"/>
    <x v="42"/>
    <n v="3259"/>
    <n v="50"/>
    <n v="177"/>
    <x v="0"/>
    <x v="2"/>
  </r>
  <r>
    <n v="45"/>
    <x v="2"/>
    <x v="3"/>
    <x v="43"/>
    <n v="2236"/>
    <n v="132"/>
    <n v="118"/>
    <x v="3"/>
    <x v="0"/>
  </r>
  <r>
    <n v="46"/>
    <x v="1"/>
    <x v="4"/>
    <x v="44"/>
    <n v="2251"/>
    <n v="380"/>
    <n v="427"/>
    <x v="2"/>
    <x v="0"/>
  </r>
  <r>
    <n v="47"/>
    <x v="0"/>
    <x v="2"/>
    <x v="45"/>
    <n v="4726"/>
    <n v="44"/>
    <n v="993"/>
    <x v="2"/>
    <x v="2"/>
  </r>
  <r>
    <n v="48"/>
    <x v="0"/>
    <x v="3"/>
    <x v="46"/>
    <n v="5000"/>
    <n v="232"/>
    <n v="16"/>
    <x v="6"/>
    <x v="2"/>
  </r>
  <r>
    <n v="49"/>
    <x v="2"/>
    <x v="0"/>
    <x v="47"/>
    <n v="725"/>
    <n v="169"/>
    <n v="298"/>
    <x v="5"/>
    <x v="1"/>
  </r>
  <r>
    <n v="50"/>
    <x v="1"/>
    <x v="4"/>
    <x v="48"/>
    <n v="1551"/>
    <n v="206"/>
    <n v="127"/>
    <x v="6"/>
    <x v="2"/>
  </r>
  <r>
    <n v="51"/>
    <x v="2"/>
    <x v="4"/>
    <x v="49"/>
    <n v="1268"/>
    <n v="73"/>
    <n v="251"/>
    <x v="2"/>
    <x v="0"/>
  </r>
  <r>
    <n v="52"/>
    <x v="2"/>
    <x v="0"/>
    <x v="50"/>
    <n v="950"/>
    <n v="113"/>
    <n v="327"/>
    <x v="3"/>
    <x v="0"/>
  </r>
  <r>
    <n v="53"/>
    <x v="2"/>
    <x v="3"/>
    <x v="51"/>
    <n v="1498"/>
    <n v="46"/>
    <n v="96"/>
    <x v="1"/>
    <x v="0"/>
  </r>
  <r>
    <n v="54"/>
    <x v="1"/>
    <x v="0"/>
    <x v="52"/>
    <n v="4297"/>
    <n v="360"/>
    <n v="825"/>
    <x v="4"/>
    <x v="2"/>
  </r>
  <r>
    <n v="55"/>
    <x v="2"/>
    <x v="1"/>
    <x v="53"/>
    <n v="592"/>
    <n v="34"/>
    <n v="496"/>
    <x v="5"/>
    <x v="1"/>
  </r>
  <r>
    <n v="56"/>
    <x v="1"/>
    <x v="0"/>
    <x v="54"/>
    <n v="3401"/>
    <n v="190"/>
    <n v="230"/>
    <x v="5"/>
    <x v="2"/>
  </r>
  <r>
    <n v="57"/>
    <x v="1"/>
    <x v="3"/>
    <x v="55"/>
    <n v="4846"/>
    <n v="134"/>
    <n v="498"/>
    <x v="0"/>
    <x v="1"/>
  </r>
  <r>
    <n v="58"/>
    <x v="0"/>
    <x v="3"/>
    <x v="56"/>
    <n v="2204"/>
    <n v="116"/>
    <n v="728"/>
    <x v="6"/>
    <x v="1"/>
  </r>
  <r>
    <n v="59"/>
    <x v="2"/>
    <x v="3"/>
    <x v="57"/>
    <n v="344"/>
    <n v="99"/>
    <n v="194"/>
    <x v="1"/>
    <x v="1"/>
  </r>
  <r>
    <n v="60"/>
    <x v="1"/>
    <x v="1"/>
    <x v="58"/>
    <n v="4763"/>
    <n v="332"/>
    <n v="956"/>
    <x v="3"/>
    <x v="0"/>
  </r>
  <r>
    <n v="61"/>
    <x v="1"/>
    <x v="3"/>
    <x v="59"/>
    <n v="3544"/>
    <n v="167"/>
    <n v="761"/>
    <x v="1"/>
    <x v="2"/>
  </r>
  <r>
    <n v="62"/>
    <x v="0"/>
    <x v="1"/>
    <x v="60"/>
    <n v="3742"/>
    <n v="227"/>
    <n v="849"/>
    <x v="3"/>
    <x v="2"/>
  </r>
  <r>
    <n v="63"/>
    <x v="2"/>
    <x v="0"/>
    <x v="61"/>
    <n v="227"/>
    <n v="163"/>
    <n v="127"/>
    <x v="5"/>
    <x v="1"/>
  </r>
  <r>
    <n v="64"/>
    <x v="1"/>
    <x v="1"/>
    <x v="62"/>
    <n v="130"/>
    <n v="452"/>
    <n v="724"/>
    <x v="6"/>
    <x v="1"/>
  </r>
  <r>
    <n v="65"/>
    <x v="1"/>
    <x v="0"/>
    <x v="63"/>
    <n v="3982"/>
    <n v="314"/>
    <n v="326"/>
    <x v="6"/>
    <x v="0"/>
  </r>
  <r>
    <n v="66"/>
    <x v="0"/>
    <x v="4"/>
    <x v="64"/>
    <n v="2265"/>
    <n v="39"/>
    <n v="318"/>
    <x v="2"/>
    <x v="0"/>
  </r>
  <r>
    <n v="67"/>
    <x v="0"/>
    <x v="1"/>
    <x v="65"/>
    <n v="2026"/>
    <n v="390"/>
    <n v="165"/>
    <x v="1"/>
    <x v="2"/>
  </r>
  <r>
    <n v="68"/>
    <x v="1"/>
    <x v="3"/>
    <x v="66"/>
    <n v="560"/>
    <n v="486"/>
    <n v="677"/>
    <x v="0"/>
    <x v="2"/>
  </r>
  <r>
    <n v="69"/>
    <x v="2"/>
    <x v="0"/>
    <x v="67"/>
    <n v="187"/>
    <n v="89"/>
    <n v="284"/>
    <x v="4"/>
    <x v="1"/>
  </r>
  <r>
    <n v="70"/>
    <x v="0"/>
    <x v="4"/>
    <x v="68"/>
    <n v="3094"/>
    <n v="86"/>
    <n v="965"/>
    <x v="5"/>
    <x v="2"/>
  </r>
  <r>
    <n v="71"/>
    <x v="1"/>
    <x v="3"/>
    <x v="69"/>
    <n v="3398"/>
    <n v="261"/>
    <n v="630"/>
    <x v="5"/>
    <x v="1"/>
  </r>
  <r>
    <n v="72"/>
    <x v="0"/>
    <x v="1"/>
    <x v="70"/>
    <n v="1690"/>
    <n v="257"/>
    <n v="656"/>
    <x v="3"/>
    <x v="1"/>
  </r>
  <r>
    <n v="73"/>
    <x v="0"/>
    <x v="4"/>
    <x v="71"/>
    <n v="3026"/>
    <n v="11"/>
    <n v="761"/>
    <x v="2"/>
    <x v="0"/>
  </r>
  <r>
    <n v="74"/>
    <x v="1"/>
    <x v="3"/>
    <x v="72"/>
    <n v="5000"/>
    <n v="454"/>
    <n v="744"/>
    <x v="3"/>
    <x v="0"/>
  </r>
  <r>
    <n v="75"/>
    <x v="0"/>
    <x v="3"/>
    <x v="73"/>
    <n v="5000"/>
    <n v="500"/>
    <n v="404"/>
    <x v="6"/>
    <x v="0"/>
  </r>
  <r>
    <n v="76"/>
    <x v="1"/>
    <x v="4"/>
    <x v="74"/>
    <n v="2153"/>
    <n v="81"/>
    <n v="114"/>
    <x v="0"/>
    <x v="1"/>
  </r>
  <r>
    <n v="77"/>
    <x v="2"/>
    <x v="1"/>
    <x v="75"/>
    <n v="3571"/>
    <n v="102"/>
    <n v="96"/>
    <x v="6"/>
    <x v="0"/>
  </r>
  <r>
    <n v="78"/>
    <x v="1"/>
    <x v="2"/>
    <x v="76"/>
    <n v="2990"/>
    <n v="30"/>
    <n v="365"/>
    <x v="0"/>
    <x v="0"/>
  </r>
  <r>
    <n v="79"/>
    <x v="1"/>
    <x v="1"/>
    <x v="77"/>
    <n v="4678"/>
    <n v="189"/>
    <n v="785"/>
    <x v="6"/>
    <x v="0"/>
  </r>
  <r>
    <n v="80"/>
    <x v="0"/>
    <x v="4"/>
    <x v="78"/>
    <n v="553"/>
    <n v="320"/>
    <n v="312"/>
    <x v="1"/>
    <x v="0"/>
  </r>
  <r>
    <n v="81"/>
    <x v="0"/>
    <x v="3"/>
    <x v="79"/>
    <n v="2642"/>
    <n v="33"/>
    <n v="413"/>
    <x v="6"/>
    <x v="1"/>
  </r>
  <r>
    <n v="82"/>
    <x v="1"/>
    <x v="1"/>
    <x v="80"/>
    <n v="4656"/>
    <n v="314"/>
    <n v="757"/>
    <x v="1"/>
    <x v="2"/>
  </r>
  <r>
    <n v="83"/>
    <x v="1"/>
    <x v="3"/>
    <x v="81"/>
    <n v="5000"/>
    <n v="173"/>
    <n v="792"/>
    <x v="6"/>
    <x v="2"/>
  </r>
  <r>
    <n v="84"/>
    <x v="0"/>
    <x v="1"/>
    <x v="82"/>
    <n v="1203"/>
    <n v="263"/>
    <n v="417"/>
    <x v="2"/>
    <x v="2"/>
  </r>
  <r>
    <n v="85"/>
    <x v="0"/>
    <x v="4"/>
    <x v="83"/>
    <n v="2566"/>
    <n v="368"/>
    <n v="304"/>
    <x v="0"/>
    <x v="1"/>
  </r>
  <r>
    <n v="86"/>
    <x v="2"/>
    <x v="4"/>
    <x v="84"/>
    <n v="2416"/>
    <n v="50"/>
    <n v="62"/>
    <x v="4"/>
    <x v="0"/>
  </r>
  <r>
    <n v="87"/>
    <x v="1"/>
    <x v="4"/>
    <x v="85"/>
    <n v="15"/>
    <n v="70"/>
    <n v="454"/>
    <x v="2"/>
    <x v="1"/>
  </r>
  <r>
    <n v="88"/>
    <x v="0"/>
    <x v="4"/>
    <x v="86"/>
    <n v="3404"/>
    <n v="244"/>
    <n v="67"/>
    <x v="6"/>
    <x v="0"/>
  </r>
  <r>
    <n v="89"/>
    <x v="2"/>
    <x v="1"/>
    <x v="87"/>
    <n v="2884"/>
    <n v="197"/>
    <n v="339"/>
    <x v="6"/>
    <x v="0"/>
  </r>
  <r>
    <n v="90"/>
    <x v="1"/>
    <x v="2"/>
    <x v="88"/>
    <n v="3195"/>
    <n v="109"/>
    <n v="243"/>
    <x v="1"/>
    <x v="2"/>
  </r>
  <r>
    <n v="91"/>
    <x v="0"/>
    <x v="1"/>
    <x v="89"/>
    <n v="3956"/>
    <n v="402"/>
    <n v="462"/>
    <x v="3"/>
    <x v="2"/>
  </r>
  <r>
    <n v="92"/>
    <x v="0"/>
    <x v="3"/>
    <x v="90"/>
    <n v="1857"/>
    <n v="216"/>
    <n v="344"/>
    <x v="0"/>
    <x v="0"/>
  </r>
  <r>
    <n v="93"/>
    <x v="1"/>
    <x v="1"/>
    <x v="91"/>
    <n v="951"/>
    <n v="432"/>
    <n v="734"/>
    <x v="1"/>
    <x v="2"/>
  </r>
  <r>
    <n v="94"/>
    <x v="0"/>
    <x v="0"/>
    <x v="92"/>
    <n v="1694"/>
    <n v="207"/>
    <n v="290"/>
    <x v="5"/>
    <x v="0"/>
  </r>
  <r>
    <n v="95"/>
    <x v="1"/>
    <x v="2"/>
    <x v="93"/>
    <n v="3005"/>
    <n v="124"/>
    <n v="517"/>
    <x v="2"/>
    <x v="0"/>
  </r>
  <r>
    <n v="96"/>
    <x v="1"/>
    <x v="1"/>
    <x v="94"/>
    <n v="36"/>
    <n v="294"/>
    <n v="911"/>
    <x v="6"/>
    <x v="0"/>
  </r>
  <r>
    <n v="97"/>
    <x v="2"/>
    <x v="3"/>
    <x v="95"/>
    <n v="314"/>
    <n v="108"/>
    <n v="458"/>
    <x v="3"/>
    <x v="1"/>
  </r>
  <r>
    <n v="98"/>
    <x v="2"/>
    <x v="4"/>
    <x v="96"/>
    <n v="229"/>
    <n v="179"/>
    <n v="38"/>
    <x v="4"/>
    <x v="0"/>
  </r>
  <r>
    <n v="99"/>
    <x v="1"/>
    <x v="2"/>
    <x v="97"/>
    <n v="5000"/>
    <n v="500"/>
    <n v="204"/>
    <x v="3"/>
    <x v="0"/>
  </r>
  <r>
    <n v="100"/>
    <x v="1"/>
    <x v="0"/>
    <x v="98"/>
    <n v="4483"/>
    <n v="357"/>
    <n v="25"/>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6CA3B3-DD14-4563-8443-F410D6B7DD02}"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G3:H7" firstHeaderRow="1" firstDataRow="1" firstDataCol="1"/>
  <pivotFields count="9">
    <pivotField dataField="1" showAll="0"/>
    <pivotField showAll="0">
      <items count="4">
        <item x="0"/>
        <item x="1"/>
        <item x="2"/>
        <item t="default"/>
      </items>
    </pivotField>
    <pivotField showAll="0">
      <items count="6">
        <item x="1"/>
        <item x="0"/>
        <item x="2"/>
        <item x="4"/>
        <item x="3"/>
        <item t="default"/>
      </items>
    </pivotField>
    <pivotField showAll="0">
      <items count="100">
        <item x="37"/>
        <item x="22"/>
        <item x="26"/>
        <item x="30"/>
        <item x="43"/>
        <item x="76"/>
        <item x="52"/>
        <item x="60"/>
        <item x="20"/>
        <item x="19"/>
        <item x="36"/>
        <item x="8"/>
        <item x="21"/>
        <item x="53"/>
        <item x="49"/>
        <item x="2"/>
        <item x="90"/>
        <item x="6"/>
        <item x="64"/>
        <item x="28"/>
        <item x="87"/>
        <item x="86"/>
        <item x="82"/>
        <item x="54"/>
        <item x="88"/>
        <item x="46"/>
        <item x="41"/>
        <item x="79"/>
        <item x="38"/>
        <item x="72"/>
        <item x="47"/>
        <item x="62"/>
        <item x="65"/>
        <item x="70"/>
        <item x="5"/>
        <item x="16"/>
        <item x="75"/>
        <item x="96"/>
        <item x="24"/>
        <item x="1"/>
        <item x="61"/>
        <item x="44"/>
        <item x="23"/>
        <item x="58"/>
        <item x="4"/>
        <item x="85"/>
        <item x="33"/>
        <item x="98"/>
        <item x="83"/>
        <item x="42"/>
        <item x="25"/>
        <item x="81"/>
        <item x="11"/>
        <item x="78"/>
        <item x="27"/>
        <item x="93"/>
        <item x="91"/>
        <item x="55"/>
        <item x="50"/>
        <item x="71"/>
        <item x="17"/>
        <item x="73"/>
        <item x="74"/>
        <item x="34"/>
        <item x="45"/>
        <item x="10"/>
        <item x="0"/>
        <item x="14"/>
        <item x="32"/>
        <item x="89"/>
        <item x="63"/>
        <item x="31"/>
        <item x="13"/>
        <item x="15"/>
        <item x="69"/>
        <item x="29"/>
        <item x="67"/>
        <item x="95"/>
        <item x="7"/>
        <item x="35"/>
        <item x="9"/>
        <item x="12"/>
        <item x="3"/>
        <item x="80"/>
        <item x="18"/>
        <item x="40"/>
        <item x="84"/>
        <item x="92"/>
        <item x="68"/>
        <item x="48"/>
        <item x="94"/>
        <item x="51"/>
        <item x="77"/>
        <item x="57"/>
        <item x="56"/>
        <item x="39"/>
        <item x="66"/>
        <item x="97"/>
        <item x="59"/>
        <item t="default"/>
      </items>
    </pivotField>
    <pivotField showAll="0"/>
    <pivotField showAll="0"/>
    <pivotField showAll="0"/>
    <pivotField showAll="0">
      <items count="8">
        <item x="1"/>
        <item x="5"/>
        <item x="2"/>
        <item x="6"/>
        <item x="0"/>
        <item x="3"/>
        <item x="4"/>
        <item t="default"/>
      </items>
    </pivotField>
    <pivotField axis="axisRow" showAll="0">
      <items count="4">
        <item x="2"/>
        <item x="1"/>
        <item x="0"/>
        <item t="default"/>
      </items>
    </pivotField>
  </pivotFields>
  <rowFields count="1">
    <field x="8"/>
  </rowFields>
  <rowItems count="4">
    <i>
      <x/>
    </i>
    <i>
      <x v="1"/>
    </i>
    <i>
      <x v="2"/>
    </i>
    <i t="grand">
      <x/>
    </i>
  </rowItems>
  <colItems count="1">
    <i/>
  </colItems>
  <dataFields count="1">
    <dataField name="Count of post_id" fld="0"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8" count="1" selected="0">
            <x v="0"/>
          </reference>
        </references>
      </pivotArea>
    </chartFormat>
    <chartFormat chart="2" format="7">
      <pivotArea type="data" outline="0" fieldPosition="0">
        <references count="2">
          <reference field="4294967294" count="1" selected="0">
            <x v="0"/>
          </reference>
          <reference field="8" count="1" selected="0">
            <x v="1"/>
          </reference>
        </references>
      </pivotArea>
    </chartFormat>
    <chartFormat chart="2"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215AD9-7DE6-43ED-8467-DB3D242644F5}"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D10:E16" firstHeaderRow="1" firstDataRow="1" firstDataCol="1"/>
  <pivotFields count="9">
    <pivotField dataField="1" showAll="0"/>
    <pivotField showAll="0">
      <items count="4">
        <item x="0"/>
        <item x="1"/>
        <item x="2"/>
        <item t="default"/>
      </items>
    </pivotField>
    <pivotField axis="axisRow" showAll="0">
      <items count="6">
        <item x="1"/>
        <item x="0"/>
        <item x="2"/>
        <item x="4"/>
        <item x="3"/>
        <item t="default"/>
      </items>
    </pivotField>
    <pivotField showAll="0">
      <items count="100">
        <item x="37"/>
        <item x="22"/>
        <item x="26"/>
        <item x="30"/>
        <item x="43"/>
        <item x="76"/>
        <item x="52"/>
        <item x="60"/>
        <item x="20"/>
        <item x="19"/>
        <item x="36"/>
        <item x="8"/>
        <item x="21"/>
        <item x="53"/>
        <item x="49"/>
        <item x="2"/>
        <item x="90"/>
        <item x="6"/>
        <item x="64"/>
        <item x="28"/>
        <item x="87"/>
        <item x="86"/>
        <item x="82"/>
        <item x="54"/>
        <item x="88"/>
        <item x="46"/>
        <item x="41"/>
        <item x="79"/>
        <item x="38"/>
        <item x="72"/>
        <item x="47"/>
        <item x="62"/>
        <item x="65"/>
        <item x="70"/>
        <item x="5"/>
        <item x="16"/>
        <item x="75"/>
        <item x="96"/>
        <item x="24"/>
        <item x="1"/>
        <item x="61"/>
        <item x="44"/>
        <item x="23"/>
        <item x="58"/>
        <item x="4"/>
        <item x="85"/>
        <item x="33"/>
        <item x="98"/>
        <item x="83"/>
        <item x="42"/>
        <item x="25"/>
        <item x="81"/>
        <item x="11"/>
        <item x="78"/>
        <item x="27"/>
        <item x="93"/>
        <item x="91"/>
        <item x="55"/>
        <item x="50"/>
        <item x="71"/>
        <item x="17"/>
        <item x="73"/>
        <item x="74"/>
        <item x="34"/>
        <item x="45"/>
        <item x="10"/>
        <item x="0"/>
        <item x="14"/>
        <item x="32"/>
        <item x="89"/>
        <item x="63"/>
        <item x="31"/>
        <item x="13"/>
        <item x="15"/>
        <item x="69"/>
        <item x="29"/>
        <item x="67"/>
        <item x="95"/>
        <item x="7"/>
        <item x="35"/>
        <item x="9"/>
        <item x="12"/>
        <item x="3"/>
        <item x="80"/>
        <item x="18"/>
        <item x="40"/>
        <item x="84"/>
        <item x="92"/>
        <item x="68"/>
        <item x="48"/>
        <item x="94"/>
        <item x="51"/>
        <item x="77"/>
        <item x="57"/>
        <item x="56"/>
        <item x="39"/>
        <item x="66"/>
        <item x="97"/>
        <item x="59"/>
        <item t="default"/>
      </items>
    </pivotField>
    <pivotField showAll="0"/>
    <pivotField showAll="0"/>
    <pivotField showAll="0"/>
    <pivotField showAll="0">
      <items count="8">
        <item x="1"/>
        <item x="5"/>
        <item x="2"/>
        <item x="6"/>
        <item x="0"/>
        <item x="3"/>
        <item x="4"/>
        <item t="default"/>
      </items>
    </pivotField>
    <pivotField showAll="0">
      <items count="4">
        <item x="2"/>
        <item x="1"/>
        <item x="0"/>
        <item t="default"/>
      </items>
    </pivotField>
  </pivotFields>
  <rowFields count="1">
    <field x="2"/>
  </rowFields>
  <rowItems count="6">
    <i>
      <x/>
    </i>
    <i>
      <x v="1"/>
    </i>
    <i>
      <x v="2"/>
    </i>
    <i>
      <x v="3"/>
    </i>
    <i>
      <x v="4"/>
    </i>
    <i t="grand">
      <x/>
    </i>
  </rowItems>
  <colItems count="1">
    <i/>
  </colItems>
  <dataFields count="1">
    <dataField name="Count of post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428247-26AA-4ED4-9D4D-44B44AFF0932}"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3:E7" firstHeaderRow="1" firstDataRow="1" firstDataCol="1"/>
  <pivotFields count="9">
    <pivotField showAll="0"/>
    <pivotField axis="axisRow" showAll="0">
      <items count="4">
        <item x="0"/>
        <item x="1"/>
        <item x="2"/>
        <item t="default"/>
      </items>
    </pivotField>
    <pivotField showAll="0">
      <items count="6">
        <item x="1"/>
        <item x="0"/>
        <item x="2"/>
        <item x="4"/>
        <item x="3"/>
        <item t="default"/>
      </items>
    </pivotField>
    <pivotField showAll="0">
      <items count="100">
        <item x="37"/>
        <item x="22"/>
        <item x="26"/>
        <item x="30"/>
        <item x="43"/>
        <item x="76"/>
        <item x="52"/>
        <item x="60"/>
        <item x="20"/>
        <item x="19"/>
        <item x="36"/>
        <item x="8"/>
        <item x="21"/>
        <item x="53"/>
        <item x="49"/>
        <item x="2"/>
        <item x="90"/>
        <item x="6"/>
        <item x="64"/>
        <item x="28"/>
        <item x="87"/>
        <item x="86"/>
        <item x="82"/>
        <item x="54"/>
        <item x="88"/>
        <item x="46"/>
        <item x="41"/>
        <item x="79"/>
        <item x="38"/>
        <item x="72"/>
        <item x="47"/>
        <item x="62"/>
        <item x="65"/>
        <item x="70"/>
        <item x="5"/>
        <item x="16"/>
        <item x="75"/>
        <item x="96"/>
        <item x="24"/>
        <item x="1"/>
        <item x="61"/>
        <item x="44"/>
        <item x="23"/>
        <item x="58"/>
        <item x="4"/>
        <item x="85"/>
        <item x="33"/>
        <item x="98"/>
        <item x="83"/>
        <item x="42"/>
        <item x="25"/>
        <item x="81"/>
        <item x="11"/>
        <item x="78"/>
        <item x="27"/>
        <item x="93"/>
        <item x="91"/>
        <item x="55"/>
        <item x="50"/>
        <item x="71"/>
        <item x="17"/>
        <item x="73"/>
        <item x="74"/>
        <item x="34"/>
        <item x="45"/>
        <item x="10"/>
        <item x="0"/>
        <item x="14"/>
        <item x="32"/>
        <item x="89"/>
        <item x="63"/>
        <item x="31"/>
        <item x="13"/>
        <item x="15"/>
        <item x="69"/>
        <item x="29"/>
        <item x="67"/>
        <item x="95"/>
        <item x="7"/>
        <item x="35"/>
        <item x="9"/>
        <item x="12"/>
        <item x="3"/>
        <item x="80"/>
        <item x="18"/>
        <item x="40"/>
        <item x="84"/>
        <item x="92"/>
        <item x="68"/>
        <item x="48"/>
        <item x="94"/>
        <item x="51"/>
        <item x="77"/>
        <item x="57"/>
        <item x="56"/>
        <item x="39"/>
        <item x="66"/>
        <item x="97"/>
        <item x="59"/>
        <item t="default"/>
      </items>
    </pivotField>
    <pivotField showAll="0"/>
    <pivotField showAll="0"/>
    <pivotField dataField="1" showAll="0"/>
    <pivotField showAll="0">
      <items count="8">
        <item x="1"/>
        <item x="5"/>
        <item x="2"/>
        <item x="6"/>
        <item x="0"/>
        <item x="3"/>
        <item x="4"/>
        <item t="default"/>
      </items>
    </pivotField>
    <pivotField showAll="0">
      <items count="4">
        <item x="2"/>
        <item x="1"/>
        <item x="0"/>
        <item t="default"/>
      </items>
    </pivotField>
  </pivotFields>
  <rowFields count="1">
    <field x="1"/>
  </rowFields>
  <rowItems count="4">
    <i>
      <x/>
    </i>
    <i>
      <x v="1"/>
    </i>
    <i>
      <x v="2"/>
    </i>
    <i t="grand">
      <x/>
    </i>
  </rowItems>
  <colItems count="1">
    <i/>
  </colItems>
  <dataFields count="1">
    <dataField name="Sum of shares"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0A3297-808E-4F6B-B35F-7C1C5C841370}"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0:B14" firstHeaderRow="1" firstDataRow="1" firstDataCol="1"/>
  <pivotFields count="9">
    <pivotField showAll="0"/>
    <pivotField axis="axisRow" showAll="0">
      <items count="4">
        <item x="0"/>
        <item x="1"/>
        <item x="2"/>
        <item t="default"/>
      </items>
    </pivotField>
    <pivotField showAll="0">
      <items count="6">
        <item x="1"/>
        <item x="0"/>
        <item x="2"/>
        <item x="4"/>
        <item x="3"/>
        <item t="default"/>
      </items>
    </pivotField>
    <pivotField showAll="0">
      <items count="100">
        <item x="37"/>
        <item x="22"/>
        <item x="26"/>
        <item x="30"/>
        <item x="43"/>
        <item x="76"/>
        <item x="52"/>
        <item x="60"/>
        <item x="20"/>
        <item x="19"/>
        <item x="36"/>
        <item x="8"/>
        <item x="21"/>
        <item x="53"/>
        <item x="49"/>
        <item x="2"/>
        <item x="90"/>
        <item x="6"/>
        <item x="64"/>
        <item x="28"/>
        <item x="87"/>
        <item x="86"/>
        <item x="82"/>
        <item x="54"/>
        <item x="88"/>
        <item x="46"/>
        <item x="41"/>
        <item x="79"/>
        <item x="38"/>
        <item x="72"/>
        <item x="47"/>
        <item x="62"/>
        <item x="65"/>
        <item x="70"/>
        <item x="5"/>
        <item x="16"/>
        <item x="75"/>
        <item x="96"/>
        <item x="24"/>
        <item x="1"/>
        <item x="61"/>
        <item x="44"/>
        <item x="23"/>
        <item x="58"/>
        <item x="4"/>
        <item x="85"/>
        <item x="33"/>
        <item x="98"/>
        <item x="83"/>
        <item x="42"/>
        <item x="25"/>
        <item x="81"/>
        <item x="11"/>
        <item x="78"/>
        <item x="27"/>
        <item x="93"/>
        <item x="91"/>
        <item x="55"/>
        <item x="50"/>
        <item x="71"/>
        <item x="17"/>
        <item x="73"/>
        <item x="74"/>
        <item x="34"/>
        <item x="45"/>
        <item x="10"/>
        <item x="0"/>
        <item x="14"/>
        <item x="32"/>
        <item x="89"/>
        <item x="63"/>
        <item x="31"/>
        <item x="13"/>
        <item x="15"/>
        <item x="69"/>
        <item x="29"/>
        <item x="67"/>
        <item x="95"/>
        <item x="7"/>
        <item x="35"/>
        <item x="9"/>
        <item x="12"/>
        <item x="3"/>
        <item x="80"/>
        <item x="18"/>
        <item x="40"/>
        <item x="84"/>
        <item x="92"/>
        <item x="68"/>
        <item x="48"/>
        <item x="94"/>
        <item x="51"/>
        <item x="77"/>
        <item x="57"/>
        <item x="56"/>
        <item x="39"/>
        <item x="66"/>
        <item x="97"/>
        <item x="59"/>
        <item t="default"/>
      </items>
    </pivotField>
    <pivotField showAll="0"/>
    <pivotField dataField="1" showAll="0"/>
    <pivotField showAll="0"/>
    <pivotField showAll="0">
      <items count="8">
        <item x="1"/>
        <item x="5"/>
        <item x="2"/>
        <item x="6"/>
        <item x="0"/>
        <item x="3"/>
        <item x="4"/>
        <item t="default"/>
      </items>
    </pivotField>
    <pivotField showAll="0">
      <items count="4">
        <item x="2"/>
        <item x="1"/>
        <item x="0"/>
        <item t="default"/>
      </items>
    </pivotField>
  </pivotFields>
  <rowFields count="1">
    <field x="1"/>
  </rowFields>
  <rowItems count="4">
    <i>
      <x/>
    </i>
    <i>
      <x v="1"/>
    </i>
    <i>
      <x v="2"/>
    </i>
    <i t="grand">
      <x/>
    </i>
  </rowItems>
  <colItems count="1">
    <i/>
  </colItems>
  <dataFields count="1">
    <dataField name="Sum of comments"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421B40-B91D-4849-BE7B-C6CA8A068CF4}"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7" firstHeaderRow="1" firstDataRow="1" firstDataCol="1"/>
  <pivotFields count="9">
    <pivotField showAll="0"/>
    <pivotField axis="axisRow" showAll="0">
      <items count="4">
        <item x="0"/>
        <item x="1"/>
        <item x="2"/>
        <item t="default"/>
      </items>
    </pivotField>
    <pivotField showAll="0">
      <items count="6">
        <item x="1"/>
        <item x="0"/>
        <item x="2"/>
        <item x="4"/>
        <item x="3"/>
        <item t="default"/>
      </items>
    </pivotField>
    <pivotField showAll="0">
      <items count="100">
        <item x="37"/>
        <item x="22"/>
        <item x="26"/>
        <item x="30"/>
        <item x="43"/>
        <item x="76"/>
        <item x="52"/>
        <item x="60"/>
        <item x="20"/>
        <item x="19"/>
        <item x="36"/>
        <item x="8"/>
        <item x="21"/>
        <item x="53"/>
        <item x="49"/>
        <item x="2"/>
        <item x="90"/>
        <item x="6"/>
        <item x="64"/>
        <item x="28"/>
        <item x="87"/>
        <item x="86"/>
        <item x="82"/>
        <item x="54"/>
        <item x="88"/>
        <item x="46"/>
        <item x="41"/>
        <item x="79"/>
        <item x="38"/>
        <item x="72"/>
        <item x="47"/>
        <item x="62"/>
        <item x="65"/>
        <item x="70"/>
        <item x="5"/>
        <item x="16"/>
        <item x="75"/>
        <item x="96"/>
        <item x="24"/>
        <item x="1"/>
        <item x="61"/>
        <item x="44"/>
        <item x="23"/>
        <item x="58"/>
        <item x="4"/>
        <item x="85"/>
        <item x="33"/>
        <item x="98"/>
        <item x="83"/>
        <item x="42"/>
        <item x="25"/>
        <item x="81"/>
        <item x="11"/>
        <item x="78"/>
        <item x="27"/>
        <item x="93"/>
        <item x="91"/>
        <item x="55"/>
        <item x="50"/>
        <item x="71"/>
        <item x="17"/>
        <item x="73"/>
        <item x="74"/>
        <item x="34"/>
        <item x="45"/>
        <item x="10"/>
        <item x="0"/>
        <item x="14"/>
        <item x="32"/>
        <item x="89"/>
        <item x="63"/>
        <item x="31"/>
        <item x="13"/>
        <item x="15"/>
        <item x="69"/>
        <item x="29"/>
        <item x="67"/>
        <item x="95"/>
        <item x="7"/>
        <item x="35"/>
        <item x="9"/>
        <item x="12"/>
        <item x="3"/>
        <item x="80"/>
        <item x="18"/>
        <item x="40"/>
        <item x="84"/>
        <item x="92"/>
        <item x="68"/>
        <item x="48"/>
        <item x="94"/>
        <item x="51"/>
        <item x="77"/>
        <item x="57"/>
        <item x="56"/>
        <item x="39"/>
        <item x="66"/>
        <item x="97"/>
        <item x="59"/>
        <item t="default"/>
      </items>
    </pivotField>
    <pivotField dataField="1" showAll="0"/>
    <pivotField showAll="0"/>
    <pivotField showAll="0"/>
    <pivotField showAll="0">
      <items count="8">
        <item x="1"/>
        <item x="5"/>
        <item x="2"/>
        <item x="6"/>
        <item x="0"/>
        <item x="3"/>
        <item x="4"/>
        <item t="default"/>
      </items>
    </pivotField>
    <pivotField showAll="0">
      <items count="4">
        <item x="2"/>
        <item x="1"/>
        <item x="0"/>
        <item t="default"/>
      </items>
    </pivotField>
  </pivotFields>
  <rowFields count="1">
    <field x="1"/>
  </rowFields>
  <rowItems count="4">
    <i>
      <x/>
    </i>
    <i>
      <x v="1"/>
    </i>
    <i>
      <x v="2"/>
    </i>
    <i t="grand">
      <x/>
    </i>
  </rowItems>
  <colItems count="1">
    <i/>
  </colItems>
  <dataFields count="1">
    <dataField name="Sum of likes"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F4B741-C2C1-4476-9E99-29353DB8C497}"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G10:H18" firstHeaderRow="1" firstDataRow="1" firstDataCol="1"/>
  <pivotFields count="9">
    <pivotField dataField="1" showAll="0"/>
    <pivotField showAll="0">
      <items count="4">
        <item x="0"/>
        <item x="1"/>
        <item x="2"/>
        <item t="default"/>
      </items>
    </pivotField>
    <pivotField showAll="0">
      <items count="6">
        <item x="1"/>
        <item x="0"/>
        <item x="2"/>
        <item x="4"/>
        <item x="3"/>
        <item t="default"/>
      </items>
    </pivotField>
    <pivotField showAll="0">
      <items count="100">
        <item x="37"/>
        <item x="22"/>
        <item x="26"/>
        <item x="30"/>
        <item x="43"/>
        <item x="76"/>
        <item x="52"/>
        <item x="60"/>
        <item x="20"/>
        <item x="19"/>
        <item x="36"/>
        <item x="8"/>
        <item x="21"/>
        <item x="53"/>
        <item x="49"/>
        <item x="2"/>
        <item x="90"/>
        <item x="6"/>
        <item x="64"/>
        <item x="28"/>
        <item x="87"/>
        <item x="86"/>
        <item x="82"/>
        <item x="54"/>
        <item x="88"/>
        <item x="46"/>
        <item x="41"/>
        <item x="79"/>
        <item x="38"/>
        <item x="72"/>
        <item x="47"/>
        <item x="62"/>
        <item x="65"/>
        <item x="70"/>
        <item x="5"/>
        <item x="16"/>
        <item x="75"/>
        <item x="96"/>
        <item x="24"/>
        <item x="1"/>
        <item x="61"/>
        <item x="44"/>
        <item x="23"/>
        <item x="58"/>
        <item x="4"/>
        <item x="85"/>
        <item x="33"/>
        <item x="98"/>
        <item x="83"/>
        <item x="42"/>
        <item x="25"/>
        <item x="81"/>
        <item x="11"/>
        <item x="78"/>
        <item x="27"/>
        <item x="93"/>
        <item x="91"/>
        <item x="55"/>
        <item x="50"/>
        <item x="71"/>
        <item x="17"/>
        <item x="73"/>
        <item x="74"/>
        <item x="34"/>
        <item x="45"/>
        <item x="10"/>
        <item x="0"/>
        <item x="14"/>
        <item x="32"/>
        <item x="89"/>
        <item x="63"/>
        <item x="31"/>
        <item x="13"/>
        <item x="15"/>
        <item x="69"/>
        <item x="29"/>
        <item x="67"/>
        <item x="95"/>
        <item x="7"/>
        <item x="35"/>
        <item x="9"/>
        <item x="12"/>
        <item x="3"/>
        <item x="80"/>
        <item x="18"/>
        <item x="40"/>
        <item x="84"/>
        <item x="92"/>
        <item x="68"/>
        <item x="48"/>
        <item x="94"/>
        <item x="51"/>
        <item x="77"/>
        <item x="57"/>
        <item x="56"/>
        <item x="39"/>
        <item x="66"/>
        <item x="97"/>
        <item x="59"/>
        <item t="default"/>
      </items>
    </pivotField>
    <pivotField showAll="0"/>
    <pivotField showAll="0"/>
    <pivotField showAll="0"/>
    <pivotField axis="axisRow" showAll="0">
      <items count="8">
        <item x="1"/>
        <item x="5"/>
        <item x="2"/>
        <item x="6"/>
        <item x="0"/>
        <item x="3"/>
        <item x="4"/>
        <item t="default"/>
      </items>
    </pivotField>
    <pivotField showAll="0">
      <items count="4">
        <item x="2"/>
        <item x="1"/>
        <item x="0"/>
        <item t="default"/>
      </items>
    </pivotField>
  </pivotFields>
  <rowFields count="1">
    <field x="7"/>
  </rowFields>
  <rowItems count="8">
    <i>
      <x/>
    </i>
    <i>
      <x v="1"/>
    </i>
    <i>
      <x v="2"/>
    </i>
    <i>
      <x v="3"/>
    </i>
    <i>
      <x v="4"/>
    </i>
    <i>
      <x v="5"/>
    </i>
    <i>
      <x v="6"/>
    </i>
    <i t="grand">
      <x/>
    </i>
  </rowItems>
  <colItems count="1">
    <i/>
  </colItems>
  <dataFields count="1">
    <dataField name="Count of post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F165D09C-4B62-4C19-B170-A3C51562A426}" sourceName="platform">
  <pivotTables>
    <pivotTable tabId="4" name="PivotTable1"/>
    <pivotTable tabId="4" name="PivotTable2"/>
    <pivotTable tabId="4" name="PivotTable3"/>
    <pivotTable tabId="4" name="PivotTable4"/>
    <pivotTable tabId="4" name="PivotTable5"/>
    <pivotTable tabId="4" name="PivotTable6"/>
  </pivotTables>
  <data>
    <tabular pivotCacheId="158982629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type" xr10:uid="{B79D53FF-B4E5-4953-95B8-48D55FE54F01}" sourceName="post_type">
  <pivotTables>
    <pivotTable tabId="4" name="PivotTable1"/>
    <pivotTable tabId="4" name="PivotTable2"/>
    <pivotTable tabId="4" name="PivotTable3"/>
    <pivotTable tabId="4" name="PivotTable4"/>
    <pivotTable tabId="4" name="PivotTable5"/>
    <pivotTable tabId="4" name="PivotTable6"/>
  </pivotTables>
  <data>
    <tabular pivotCacheId="1589826299">
      <items count="5">
        <i x="1" s="1"/>
        <i x="0"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_score" xr10:uid="{72DD38F4-36C9-4334-9ECB-5BD04ED39127}" sourceName="sentiment_score">
  <pivotTables>
    <pivotTable tabId="4" name="PivotTable1"/>
    <pivotTable tabId="4" name="PivotTable2"/>
    <pivotTable tabId="4" name="PivotTable3"/>
    <pivotTable tabId="4" name="PivotTable4"/>
    <pivotTable tabId="4" name="PivotTable5"/>
    <pivotTable tabId="4" name="PivotTable6"/>
  </pivotTables>
  <data>
    <tabular pivotCacheId="158982629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day" xr10:uid="{5BE75C19-71CF-4B79-908E-7B3906BFC81A}" sourceName="post_day">
  <pivotTables>
    <pivotTable tabId="4" name="PivotTable1"/>
    <pivotTable tabId="4" name="PivotTable2"/>
    <pivotTable tabId="4" name="PivotTable3"/>
    <pivotTable tabId="4" name="PivotTable4"/>
    <pivotTable tabId="4" name="PivotTable5"/>
    <pivotTable tabId="4" name="PivotTable6"/>
  </pivotTables>
  <data>
    <tabular pivotCacheId="1589826299">
      <items count="7">
        <i x="1" s="1"/>
        <i x="5" s="1"/>
        <i x="2" s="1"/>
        <i x="6"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2F4C05BE-2FDB-496E-9F7E-0A0D7A491545}" cache="Slicer_platform" caption="platform" rowHeight="234950"/>
  <slicer name="post_type" xr10:uid="{BBAD9869-86C0-463E-B68B-77014259A43F}" cache="Slicer_post_type" caption="post_type" rowHeight="234950"/>
  <slicer name="sentiment_score" xr10:uid="{460116CA-F15D-4AE9-87B0-739730BCFA2E}" cache="Slicer_sentiment_score" caption="sentiment_score" rowHeight="234950"/>
  <slicer name="post_day" xr10:uid="{1812066A-3690-4C76-B9F6-72CC943D482E}" cache="Slicer_post_day" caption="post_da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ost_time" xr10:uid="{245555FF-A2E6-4200-BCD0-CCE2A4BFC3AF}" sourceName="post_time">
  <pivotTables>
    <pivotTable tabId="4" name="PivotTable1"/>
    <pivotTable tabId="4" name="PivotTable2"/>
    <pivotTable tabId="4" name="PivotTable3"/>
    <pivotTable tabId="4" name="PivotTable4"/>
    <pivotTable tabId="4" name="PivotTable5"/>
    <pivotTable tabId="4" name="PivotTable6"/>
  </pivotTables>
  <state minimalRefreshVersion="6" lastRefreshVersion="6" pivotCacheId="1589826299" filterType="unknown">
    <bounds startDate="2023-01-01T06:00:00" endDate="2024-01-01T22:3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ost_time" xr10:uid="{E259C5D1-53D3-465F-B980-8FE7A09F7FD1}" cache="NativeTimeline_post_time" caption="post_time" level="2" selectionLevel="2" scrollPosition="2023-01-01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workbookViewId="0">
      <selection activeCell="O27" sqref="O27"/>
    </sheetView>
  </sheetViews>
  <sheetFormatPr defaultRowHeight="14.4" x14ac:dyDescent="0.3"/>
  <cols>
    <col min="1" max="1" width="9.109375" customWidth="1"/>
    <col min="2" max="2" width="10.44140625" customWidth="1"/>
    <col min="3" max="3" width="11.33203125" customWidth="1"/>
    <col min="4" max="4" width="16.6640625" style="1" customWidth="1"/>
    <col min="5" max="5" width="6.6640625" customWidth="1"/>
    <col min="6" max="6" width="11.77734375" customWidth="1"/>
    <col min="7" max="7" width="8.21875" customWidth="1"/>
    <col min="8" max="8" width="10.6640625" customWidth="1"/>
    <col min="9" max="9" width="16.77734375" customWidth="1"/>
  </cols>
  <sheetData>
    <row r="1" spans="1:9" x14ac:dyDescent="0.3">
      <c r="A1" s="5" t="s">
        <v>0</v>
      </c>
      <c r="B1" s="6" t="s">
        <v>1</v>
      </c>
      <c r="C1" s="6" t="s">
        <v>2</v>
      </c>
      <c r="D1" s="17" t="s">
        <v>32</v>
      </c>
      <c r="E1" s="6" t="s">
        <v>3</v>
      </c>
      <c r="F1" s="6" t="s">
        <v>4</v>
      </c>
      <c r="G1" s="6" t="s">
        <v>5</v>
      </c>
      <c r="H1" s="6" t="s">
        <v>6</v>
      </c>
      <c r="I1" s="7" t="s">
        <v>7</v>
      </c>
    </row>
    <row r="2" spans="1:9" x14ac:dyDescent="0.3">
      <c r="A2" s="8">
        <v>1</v>
      </c>
      <c r="B2" s="9" t="s">
        <v>8</v>
      </c>
      <c r="C2" s="9" t="s">
        <v>9</v>
      </c>
      <c r="D2" s="18">
        <v>45155.614583333343</v>
      </c>
      <c r="E2" s="9">
        <v>2121</v>
      </c>
      <c r="F2" s="9">
        <v>474</v>
      </c>
      <c r="G2" s="9">
        <v>628</v>
      </c>
      <c r="H2" s="9" t="s">
        <v>10</v>
      </c>
      <c r="I2" s="10" t="s">
        <v>11</v>
      </c>
    </row>
    <row r="3" spans="1:9" x14ac:dyDescent="0.3">
      <c r="A3" s="11">
        <v>2</v>
      </c>
      <c r="B3" s="12" t="s">
        <v>8</v>
      </c>
      <c r="C3" s="12" t="s">
        <v>12</v>
      </c>
      <c r="D3" s="19">
        <v>45060.03125</v>
      </c>
      <c r="E3" s="12">
        <v>3660</v>
      </c>
      <c r="F3" s="12">
        <v>432</v>
      </c>
      <c r="G3" s="12">
        <v>694</v>
      </c>
      <c r="H3" s="12" t="s">
        <v>13</v>
      </c>
      <c r="I3" s="13" t="s">
        <v>14</v>
      </c>
    </row>
    <row r="4" spans="1:9" x14ac:dyDescent="0.3">
      <c r="A4" s="8">
        <v>3</v>
      </c>
      <c r="B4" s="9" t="s">
        <v>15</v>
      </c>
      <c r="C4" s="9" t="s">
        <v>16</v>
      </c>
      <c r="D4" s="18">
        <v>44978.677083333343</v>
      </c>
      <c r="E4" s="9">
        <v>4955</v>
      </c>
      <c r="F4" s="9">
        <v>408</v>
      </c>
      <c r="G4" s="9">
        <v>688</v>
      </c>
      <c r="H4" s="9" t="s">
        <v>17</v>
      </c>
      <c r="I4" s="10" t="s">
        <v>18</v>
      </c>
    </row>
    <row r="5" spans="1:9" x14ac:dyDescent="0.3">
      <c r="A5" s="11">
        <v>4</v>
      </c>
      <c r="B5" s="12" t="s">
        <v>19</v>
      </c>
      <c r="C5" s="12" t="s">
        <v>9</v>
      </c>
      <c r="D5" s="19">
        <v>45246.03125</v>
      </c>
      <c r="E5" s="12">
        <v>1183</v>
      </c>
      <c r="F5" s="12">
        <v>90</v>
      </c>
      <c r="G5" s="12">
        <v>187</v>
      </c>
      <c r="H5" s="12" t="s">
        <v>10</v>
      </c>
      <c r="I5" s="13" t="s">
        <v>18</v>
      </c>
    </row>
    <row r="6" spans="1:9" x14ac:dyDescent="0.3">
      <c r="A6" s="8">
        <v>5</v>
      </c>
      <c r="B6" s="9" t="s">
        <v>19</v>
      </c>
      <c r="C6" s="9" t="s">
        <v>20</v>
      </c>
      <c r="D6" s="18">
        <v>45069.020833333343</v>
      </c>
      <c r="E6" s="9">
        <v>3499</v>
      </c>
      <c r="F6" s="9">
        <v>247</v>
      </c>
      <c r="G6" s="9">
        <v>286</v>
      </c>
      <c r="H6" s="9" t="s">
        <v>17</v>
      </c>
      <c r="I6" s="10" t="s">
        <v>11</v>
      </c>
    </row>
    <row r="7" spans="1:9" x14ac:dyDescent="0.3">
      <c r="A7" s="11">
        <v>6</v>
      </c>
      <c r="B7" s="12" t="s">
        <v>15</v>
      </c>
      <c r="C7" s="12" t="s">
        <v>12</v>
      </c>
      <c r="D7" s="14">
        <v>45051.833333333343</v>
      </c>
      <c r="E7" s="12">
        <v>256</v>
      </c>
      <c r="F7" s="12">
        <v>186</v>
      </c>
      <c r="G7" s="12">
        <v>211</v>
      </c>
      <c r="H7" s="12" t="s">
        <v>21</v>
      </c>
      <c r="I7" s="13" t="s">
        <v>14</v>
      </c>
    </row>
    <row r="8" spans="1:9" x14ac:dyDescent="0.3">
      <c r="A8" s="8">
        <v>7</v>
      </c>
      <c r="B8" s="9" t="s">
        <v>15</v>
      </c>
      <c r="C8" s="9" t="s">
        <v>9</v>
      </c>
      <c r="D8" s="18">
        <v>44983.489583333343</v>
      </c>
      <c r="E8" s="9">
        <v>1982</v>
      </c>
      <c r="F8" s="9">
        <v>30</v>
      </c>
      <c r="G8" s="9">
        <v>906</v>
      </c>
      <c r="H8" s="9" t="s">
        <v>13</v>
      </c>
      <c r="I8" s="10" t="s">
        <v>11</v>
      </c>
    </row>
    <row r="9" spans="1:9" x14ac:dyDescent="0.3">
      <c r="A9" s="11">
        <v>8</v>
      </c>
      <c r="B9" s="12" t="s">
        <v>15</v>
      </c>
      <c r="C9" s="12" t="s">
        <v>22</v>
      </c>
      <c r="D9" s="19">
        <v>45227.8125</v>
      </c>
      <c r="E9" s="12">
        <v>1274</v>
      </c>
      <c r="F9" s="12">
        <v>45</v>
      </c>
      <c r="G9" s="12">
        <v>216</v>
      </c>
      <c r="H9" s="12" t="s">
        <v>23</v>
      </c>
      <c r="I9" s="13" t="s">
        <v>14</v>
      </c>
    </row>
    <row r="10" spans="1:9" x14ac:dyDescent="0.3">
      <c r="A10" s="8">
        <v>9</v>
      </c>
      <c r="B10" s="9" t="s">
        <v>8</v>
      </c>
      <c r="C10" s="9" t="s">
        <v>20</v>
      </c>
      <c r="D10" s="15">
        <v>44962.260416666657</v>
      </c>
      <c r="E10" s="9">
        <v>317</v>
      </c>
      <c r="F10" s="9">
        <v>249</v>
      </c>
      <c r="G10" s="9">
        <v>221</v>
      </c>
      <c r="H10" s="9" t="s">
        <v>17</v>
      </c>
      <c r="I10" s="10" t="s">
        <v>14</v>
      </c>
    </row>
    <row r="11" spans="1:9" x14ac:dyDescent="0.3">
      <c r="A11" s="11">
        <v>10</v>
      </c>
      <c r="B11" s="12" t="s">
        <v>19</v>
      </c>
      <c r="C11" s="12" t="s">
        <v>12</v>
      </c>
      <c r="D11" s="14">
        <v>45235.458333333343</v>
      </c>
      <c r="E11" s="12">
        <v>1878</v>
      </c>
      <c r="F11" s="12">
        <v>225</v>
      </c>
      <c r="G11" s="12">
        <v>438</v>
      </c>
      <c r="H11" s="12" t="s">
        <v>10</v>
      </c>
      <c r="I11" s="13" t="s">
        <v>14</v>
      </c>
    </row>
    <row r="12" spans="1:9" x14ac:dyDescent="0.3">
      <c r="A12" s="8">
        <v>11</v>
      </c>
      <c r="B12" s="9" t="s">
        <v>19</v>
      </c>
      <c r="C12" s="9" t="s">
        <v>22</v>
      </c>
      <c r="D12" s="15">
        <v>45150.09375</v>
      </c>
      <c r="E12" s="9">
        <v>1446</v>
      </c>
      <c r="F12" s="9">
        <v>44</v>
      </c>
      <c r="G12" s="9">
        <v>52</v>
      </c>
      <c r="H12" s="9" t="s">
        <v>21</v>
      </c>
      <c r="I12" s="10" t="s">
        <v>18</v>
      </c>
    </row>
    <row r="13" spans="1:9" x14ac:dyDescent="0.3">
      <c r="A13" s="11">
        <v>12</v>
      </c>
      <c r="B13" s="12" t="s">
        <v>19</v>
      </c>
      <c r="C13" s="12" t="s">
        <v>20</v>
      </c>
      <c r="D13" s="19">
        <v>45092.135416666657</v>
      </c>
      <c r="E13" s="12">
        <v>304</v>
      </c>
      <c r="F13" s="12">
        <v>42</v>
      </c>
      <c r="G13" s="12">
        <v>89</v>
      </c>
      <c r="H13" s="12" t="s">
        <v>10</v>
      </c>
      <c r="I13" s="13" t="s">
        <v>11</v>
      </c>
    </row>
    <row r="14" spans="1:9" x14ac:dyDescent="0.3">
      <c r="A14" s="8">
        <v>13</v>
      </c>
      <c r="B14" s="9" t="s">
        <v>8</v>
      </c>
      <c r="C14" s="9" t="s">
        <v>12</v>
      </c>
      <c r="D14" s="15">
        <v>45241.65625</v>
      </c>
      <c r="E14" s="9">
        <v>45</v>
      </c>
      <c r="F14" s="9">
        <v>78</v>
      </c>
      <c r="G14" s="9">
        <v>375</v>
      </c>
      <c r="H14" s="9" t="s">
        <v>23</v>
      </c>
      <c r="I14" s="10" t="s">
        <v>18</v>
      </c>
    </row>
    <row r="15" spans="1:9" x14ac:dyDescent="0.3">
      <c r="A15" s="11">
        <v>14</v>
      </c>
      <c r="B15" s="12" t="s">
        <v>19</v>
      </c>
      <c r="C15" s="12" t="s">
        <v>22</v>
      </c>
      <c r="D15" s="19">
        <v>45199.4375</v>
      </c>
      <c r="E15" s="12">
        <v>1333</v>
      </c>
      <c r="F15" s="12">
        <v>144</v>
      </c>
      <c r="G15" s="12">
        <v>123</v>
      </c>
      <c r="H15" s="12" t="s">
        <v>23</v>
      </c>
      <c r="I15" s="13" t="s">
        <v>11</v>
      </c>
    </row>
    <row r="16" spans="1:9" x14ac:dyDescent="0.3">
      <c r="A16" s="8">
        <v>15</v>
      </c>
      <c r="B16" s="9" t="s">
        <v>8</v>
      </c>
      <c r="C16" s="9" t="s">
        <v>12</v>
      </c>
      <c r="D16" s="15">
        <v>45170.833333333343</v>
      </c>
      <c r="E16" s="9">
        <v>889</v>
      </c>
      <c r="F16" s="9">
        <v>314</v>
      </c>
      <c r="G16" s="9">
        <v>262</v>
      </c>
      <c r="H16" s="9" t="s">
        <v>24</v>
      </c>
      <c r="I16" s="10" t="s">
        <v>11</v>
      </c>
    </row>
    <row r="17" spans="1:9" x14ac:dyDescent="0.3">
      <c r="A17" s="11">
        <v>16</v>
      </c>
      <c r="B17" s="12" t="s">
        <v>19</v>
      </c>
      <c r="C17" s="12" t="s">
        <v>9</v>
      </c>
      <c r="D17" s="14">
        <v>45201.541666666657</v>
      </c>
      <c r="E17" s="12">
        <v>2348</v>
      </c>
      <c r="F17" s="12">
        <v>154</v>
      </c>
      <c r="G17" s="12">
        <v>18</v>
      </c>
      <c r="H17" s="12" t="s">
        <v>21</v>
      </c>
      <c r="I17" s="13" t="s">
        <v>14</v>
      </c>
    </row>
    <row r="18" spans="1:9" x14ac:dyDescent="0.3">
      <c r="A18" s="8">
        <v>17</v>
      </c>
      <c r="B18" s="9" t="s">
        <v>15</v>
      </c>
      <c r="C18" s="9" t="s">
        <v>16</v>
      </c>
      <c r="D18" s="15">
        <v>45053.21875</v>
      </c>
      <c r="E18" s="9">
        <v>2872</v>
      </c>
      <c r="F18" s="9">
        <v>10</v>
      </c>
      <c r="G18" s="9">
        <v>736</v>
      </c>
      <c r="H18" s="9" t="s">
        <v>25</v>
      </c>
      <c r="I18" s="10" t="s">
        <v>11</v>
      </c>
    </row>
    <row r="19" spans="1:9" x14ac:dyDescent="0.3">
      <c r="A19" s="11">
        <v>18</v>
      </c>
      <c r="B19" s="12" t="s">
        <v>19</v>
      </c>
      <c r="C19" s="12" t="s">
        <v>22</v>
      </c>
      <c r="D19" s="19">
        <v>45130.239583333343</v>
      </c>
      <c r="E19" s="12">
        <v>512</v>
      </c>
      <c r="F19" s="12">
        <v>123</v>
      </c>
      <c r="G19" s="12">
        <v>338</v>
      </c>
      <c r="H19" s="12" t="s">
        <v>13</v>
      </c>
      <c r="I19" s="13" t="s">
        <v>14</v>
      </c>
    </row>
    <row r="20" spans="1:9" x14ac:dyDescent="0.3">
      <c r="A20" s="8">
        <v>19</v>
      </c>
      <c r="B20" s="9" t="s">
        <v>19</v>
      </c>
      <c r="C20" s="9" t="s">
        <v>22</v>
      </c>
      <c r="D20" s="18">
        <v>45250.083333333343</v>
      </c>
      <c r="E20" s="9">
        <v>2013</v>
      </c>
      <c r="F20" s="9">
        <v>122</v>
      </c>
      <c r="G20" s="9">
        <v>183</v>
      </c>
      <c r="H20" s="9" t="s">
        <v>24</v>
      </c>
      <c r="I20" s="10" t="s">
        <v>11</v>
      </c>
    </row>
    <row r="21" spans="1:9" x14ac:dyDescent="0.3">
      <c r="A21" s="11">
        <v>20</v>
      </c>
      <c r="B21" s="12" t="s">
        <v>8</v>
      </c>
      <c r="C21" s="12" t="s">
        <v>9</v>
      </c>
      <c r="D21" s="14">
        <v>44959.666666666657</v>
      </c>
      <c r="E21" s="12">
        <v>455</v>
      </c>
      <c r="F21" s="12">
        <v>86</v>
      </c>
      <c r="G21" s="12">
        <v>79</v>
      </c>
      <c r="H21" s="12" t="s">
        <v>10</v>
      </c>
      <c r="I21" s="13" t="s">
        <v>11</v>
      </c>
    </row>
    <row r="22" spans="1:9" x14ac:dyDescent="0.3">
      <c r="A22" s="8">
        <v>21</v>
      </c>
      <c r="B22" s="9" t="s">
        <v>19</v>
      </c>
      <c r="C22" s="9" t="s">
        <v>16</v>
      </c>
      <c r="D22" s="15">
        <v>44962.260416666657</v>
      </c>
      <c r="E22" s="9">
        <v>559</v>
      </c>
      <c r="F22" s="9">
        <v>136</v>
      </c>
      <c r="G22" s="9">
        <v>55</v>
      </c>
      <c r="H22" s="9" t="s">
        <v>17</v>
      </c>
      <c r="I22" s="10" t="s">
        <v>14</v>
      </c>
    </row>
    <row r="23" spans="1:9" x14ac:dyDescent="0.3">
      <c r="A23" s="11">
        <v>22</v>
      </c>
      <c r="B23" s="12" t="s">
        <v>19</v>
      </c>
      <c r="C23" s="12" t="s">
        <v>12</v>
      </c>
      <c r="D23" s="19">
        <v>44956.5625</v>
      </c>
      <c r="E23" s="12">
        <v>1961</v>
      </c>
      <c r="F23" s="12">
        <v>44</v>
      </c>
      <c r="G23" s="12">
        <v>439</v>
      </c>
      <c r="H23" s="12" t="s">
        <v>24</v>
      </c>
      <c r="I23" s="13" t="s">
        <v>11</v>
      </c>
    </row>
    <row r="24" spans="1:9" x14ac:dyDescent="0.3">
      <c r="A24" s="8">
        <v>23</v>
      </c>
      <c r="B24" s="9" t="s">
        <v>19</v>
      </c>
      <c r="C24" s="9" t="s">
        <v>22</v>
      </c>
      <c r="D24" s="15">
        <v>44967.510416666657</v>
      </c>
      <c r="E24" s="9">
        <v>332</v>
      </c>
      <c r="F24" s="9">
        <v>109</v>
      </c>
      <c r="G24" s="9">
        <v>348</v>
      </c>
      <c r="H24" s="9" t="s">
        <v>24</v>
      </c>
      <c r="I24" s="10" t="s">
        <v>11</v>
      </c>
    </row>
    <row r="25" spans="1:9" x14ac:dyDescent="0.3">
      <c r="A25" s="11">
        <v>24</v>
      </c>
      <c r="B25" s="12" t="s">
        <v>15</v>
      </c>
      <c r="C25" s="12" t="s">
        <v>12</v>
      </c>
      <c r="D25" s="14">
        <v>44927.833333333343</v>
      </c>
      <c r="E25" s="12">
        <v>5000</v>
      </c>
      <c r="F25" s="12">
        <v>80</v>
      </c>
      <c r="G25" s="12">
        <v>399</v>
      </c>
      <c r="H25" s="12" t="s">
        <v>13</v>
      </c>
      <c r="I25" s="13" t="s">
        <v>11</v>
      </c>
    </row>
    <row r="26" spans="1:9" x14ac:dyDescent="0.3">
      <c r="A26" s="8">
        <v>25</v>
      </c>
      <c r="B26" s="9" t="s">
        <v>19</v>
      </c>
      <c r="C26" s="9" t="s">
        <v>16</v>
      </c>
      <c r="D26" s="18">
        <v>45063.010416666657</v>
      </c>
      <c r="E26" s="9">
        <v>898</v>
      </c>
      <c r="F26" s="9">
        <v>130</v>
      </c>
      <c r="G26" s="9">
        <v>480</v>
      </c>
      <c r="H26" s="9" t="s">
        <v>25</v>
      </c>
      <c r="I26" s="10" t="s">
        <v>11</v>
      </c>
    </row>
    <row r="27" spans="1:9" x14ac:dyDescent="0.3">
      <c r="A27" s="11">
        <v>26</v>
      </c>
      <c r="B27" s="12" t="s">
        <v>8</v>
      </c>
      <c r="C27" s="12" t="s">
        <v>12</v>
      </c>
      <c r="D27" s="14">
        <v>45056.270833333343</v>
      </c>
      <c r="E27" s="12">
        <v>1992</v>
      </c>
      <c r="F27" s="12">
        <v>70</v>
      </c>
      <c r="G27" s="12">
        <v>515</v>
      </c>
      <c r="H27" s="12" t="s">
        <v>10</v>
      </c>
      <c r="I27" s="13" t="s">
        <v>18</v>
      </c>
    </row>
    <row r="28" spans="1:9" x14ac:dyDescent="0.3">
      <c r="A28" s="8">
        <v>27</v>
      </c>
      <c r="B28" s="9" t="s">
        <v>15</v>
      </c>
      <c r="C28" s="9" t="s">
        <v>22</v>
      </c>
      <c r="D28" s="15">
        <v>45087.416666666657</v>
      </c>
      <c r="E28" s="9">
        <v>3161</v>
      </c>
      <c r="F28" s="9">
        <v>162</v>
      </c>
      <c r="G28" s="9">
        <v>137</v>
      </c>
      <c r="H28" s="9" t="s">
        <v>21</v>
      </c>
      <c r="I28" s="10" t="s">
        <v>11</v>
      </c>
    </row>
    <row r="29" spans="1:9" x14ac:dyDescent="0.3">
      <c r="A29" s="11">
        <v>28</v>
      </c>
      <c r="B29" s="12" t="s">
        <v>8</v>
      </c>
      <c r="C29" s="12" t="s">
        <v>16</v>
      </c>
      <c r="D29" s="14">
        <v>44929.333333333343</v>
      </c>
      <c r="E29" s="12">
        <v>2083</v>
      </c>
      <c r="F29" s="12">
        <v>500</v>
      </c>
      <c r="G29" s="12">
        <v>388</v>
      </c>
      <c r="H29" s="12" t="s">
        <v>25</v>
      </c>
      <c r="I29" s="13" t="s">
        <v>14</v>
      </c>
    </row>
    <row r="30" spans="1:9" x14ac:dyDescent="0.3">
      <c r="A30" s="8">
        <v>29</v>
      </c>
      <c r="B30" s="9" t="s">
        <v>8</v>
      </c>
      <c r="C30" s="9" t="s">
        <v>9</v>
      </c>
      <c r="D30" s="15">
        <v>45108.4375</v>
      </c>
      <c r="E30" s="9">
        <v>548</v>
      </c>
      <c r="F30" s="9">
        <v>153</v>
      </c>
      <c r="G30" s="9">
        <v>731</v>
      </c>
      <c r="H30" s="9" t="s">
        <v>23</v>
      </c>
      <c r="I30" s="10" t="s">
        <v>18</v>
      </c>
    </row>
    <row r="31" spans="1:9" x14ac:dyDescent="0.3">
      <c r="A31" s="11">
        <v>30</v>
      </c>
      <c r="B31" s="12" t="s">
        <v>8</v>
      </c>
      <c r="C31" s="12" t="s">
        <v>12</v>
      </c>
      <c r="D31" s="14">
        <v>44987.020833333343</v>
      </c>
      <c r="E31" s="12">
        <v>4594</v>
      </c>
      <c r="F31" s="12">
        <v>216</v>
      </c>
      <c r="G31" s="12">
        <v>739</v>
      </c>
      <c r="H31" s="12" t="s">
        <v>21</v>
      </c>
      <c r="I31" s="13" t="s">
        <v>11</v>
      </c>
    </row>
    <row r="32" spans="1:9" x14ac:dyDescent="0.3">
      <c r="A32" s="8">
        <v>31</v>
      </c>
      <c r="B32" s="9" t="s">
        <v>8</v>
      </c>
      <c r="C32" s="9" t="s">
        <v>16</v>
      </c>
      <c r="D32" s="15">
        <v>45208.572916666657</v>
      </c>
      <c r="E32" s="9">
        <v>4795</v>
      </c>
      <c r="F32" s="9">
        <v>449</v>
      </c>
      <c r="G32" s="9">
        <v>978</v>
      </c>
      <c r="H32" s="9" t="s">
        <v>13</v>
      </c>
      <c r="I32" s="10" t="s">
        <v>18</v>
      </c>
    </row>
    <row r="33" spans="1:9" x14ac:dyDescent="0.3">
      <c r="A33" s="11">
        <v>32</v>
      </c>
      <c r="B33" s="12" t="s">
        <v>15</v>
      </c>
      <c r="C33" s="12" t="s">
        <v>9</v>
      </c>
      <c r="D33" s="14">
        <v>44933.614583333343</v>
      </c>
      <c r="E33" s="12">
        <v>4665</v>
      </c>
      <c r="F33" s="12">
        <v>202</v>
      </c>
      <c r="G33" s="12">
        <v>183</v>
      </c>
      <c r="H33" s="12" t="s">
        <v>23</v>
      </c>
      <c r="I33" s="13" t="s">
        <v>11</v>
      </c>
    </row>
    <row r="34" spans="1:9" x14ac:dyDescent="0.3">
      <c r="A34" s="8">
        <v>33</v>
      </c>
      <c r="B34" s="9" t="s">
        <v>19</v>
      </c>
      <c r="C34" s="9" t="s">
        <v>20</v>
      </c>
      <c r="D34" s="18">
        <v>45196.791666666657</v>
      </c>
      <c r="E34" s="9">
        <v>119</v>
      </c>
      <c r="F34" s="9">
        <v>147</v>
      </c>
      <c r="G34" s="9">
        <v>240</v>
      </c>
      <c r="H34" s="9" t="s">
        <v>25</v>
      </c>
      <c r="I34" s="10" t="s">
        <v>11</v>
      </c>
    </row>
    <row r="35" spans="1:9" x14ac:dyDescent="0.3">
      <c r="A35" s="11">
        <v>34</v>
      </c>
      <c r="B35" s="12" t="s">
        <v>19</v>
      </c>
      <c r="C35" s="12" t="s">
        <v>16</v>
      </c>
      <c r="D35" s="14">
        <v>45171.645833333343</v>
      </c>
      <c r="E35" s="12">
        <v>2253</v>
      </c>
      <c r="F35" s="12">
        <v>162</v>
      </c>
      <c r="G35" s="12">
        <v>28</v>
      </c>
      <c r="H35" s="12" t="s">
        <v>10</v>
      </c>
      <c r="I35" s="13" t="s">
        <v>11</v>
      </c>
    </row>
    <row r="36" spans="1:9" x14ac:dyDescent="0.3">
      <c r="A36" s="8">
        <v>35</v>
      </c>
      <c r="B36" s="9" t="s">
        <v>15</v>
      </c>
      <c r="C36" s="9" t="s">
        <v>9</v>
      </c>
      <c r="D36" s="15">
        <v>45083.8125</v>
      </c>
      <c r="E36" s="9">
        <v>1309</v>
      </c>
      <c r="F36" s="9">
        <v>201</v>
      </c>
      <c r="G36" s="9">
        <v>852</v>
      </c>
      <c r="H36" s="9" t="s">
        <v>17</v>
      </c>
      <c r="I36" s="10" t="s">
        <v>18</v>
      </c>
    </row>
    <row r="37" spans="1:9" x14ac:dyDescent="0.3">
      <c r="A37" s="11">
        <v>36</v>
      </c>
      <c r="B37" s="12" t="s">
        <v>8</v>
      </c>
      <c r="C37" s="12" t="s">
        <v>20</v>
      </c>
      <c r="D37" s="14">
        <v>45142.802083333343</v>
      </c>
      <c r="E37" s="12">
        <v>5000</v>
      </c>
      <c r="F37" s="12">
        <v>500</v>
      </c>
      <c r="G37" s="12">
        <v>43</v>
      </c>
      <c r="H37" s="12" t="s">
        <v>23</v>
      </c>
      <c r="I37" s="13" t="s">
        <v>11</v>
      </c>
    </row>
    <row r="38" spans="1:9" x14ac:dyDescent="0.3">
      <c r="A38" s="8">
        <v>37</v>
      </c>
      <c r="B38" s="9" t="s">
        <v>8</v>
      </c>
      <c r="C38" s="9" t="s">
        <v>20</v>
      </c>
      <c r="D38" s="15">
        <v>45235.020833333343</v>
      </c>
      <c r="E38" s="9">
        <v>4245</v>
      </c>
      <c r="F38" s="9">
        <v>59</v>
      </c>
      <c r="G38" s="9">
        <v>83</v>
      </c>
      <c r="H38" s="9" t="s">
        <v>10</v>
      </c>
      <c r="I38" s="10" t="s">
        <v>14</v>
      </c>
    </row>
    <row r="39" spans="1:9" x14ac:dyDescent="0.3">
      <c r="A39" s="11">
        <v>38</v>
      </c>
      <c r="B39" s="12" t="s">
        <v>19</v>
      </c>
      <c r="C39" s="12" t="s">
        <v>16</v>
      </c>
      <c r="D39" s="14">
        <v>44962.020833333343</v>
      </c>
      <c r="E39" s="12">
        <v>2463</v>
      </c>
      <c r="F39" s="12">
        <v>187</v>
      </c>
      <c r="G39" s="12">
        <v>445</v>
      </c>
      <c r="H39" s="12" t="s">
        <v>17</v>
      </c>
      <c r="I39" s="13" t="s">
        <v>11</v>
      </c>
    </row>
    <row r="40" spans="1:9" x14ac:dyDescent="0.3">
      <c r="A40" s="8">
        <v>39</v>
      </c>
      <c r="B40" s="9" t="s">
        <v>8</v>
      </c>
      <c r="C40" s="9" t="s">
        <v>20</v>
      </c>
      <c r="D40" s="15">
        <v>44927.25</v>
      </c>
      <c r="E40" s="9">
        <v>5000</v>
      </c>
      <c r="F40" s="9">
        <v>430</v>
      </c>
      <c r="G40" s="9">
        <v>980</v>
      </c>
      <c r="H40" s="9" t="s">
        <v>13</v>
      </c>
      <c r="I40" s="10" t="s">
        <v>14</v>
      </c>
    </row>
    <row r="41" spans="1:9" x14ac:dyDescent="0.3">
      <c r="A41" s="11">
        <v>40</v>
      </c>
      <c r="B41" s="12" t="s">
        <v>15</v>
      </c>
      <c r="C41" s="12" t="s">
        <v>12</v>
      </c>
      <c r="D41" s="14">
        <v>45024.53125</v>
      </c>
      <c r="E41" s="12">
        <v>447</v>
      </c>
      <c r="F41" s="12">
        <v>333</v>
      </c>
      <c r="G41" s="12">
        <v>845</v>
      </c>
      <c r="H41" s="12" t="s">
        <v>21</v>
      </c>
      <c r="I41" s="13" t="s">
        <v>18</v>
      </c>
    </row>
    <row r="42" spans="1:9" x14ac:dyDescent="0.3">
      <c r="A42" s="8">
        <v>41</v>
      </c>
      <c r="B42" s="9" t="s">
        <v>19</v>
      </c>
      <c r="C42" s="9" t="s">
        <v>12</v>
      </c>
      <c r="D42" s="18">
        <v>45287.479166666657</v>
      </c>
      <c r="E42" s="9">
        <v>667</v>
      </c>
      <c r="F42" s="9">
        <v>176</v>
      </c>
      <c r="G42" s="9">
        <v>461</v>
      </c>
      <c r="H42" s="9" t="s">
        <v>25</v>
      </c>
      <c r="I42" s="10" t="s">
        <v>11</v>
      </c>
    </row>
    <row r="43" spans="1:9" x14ac:dyDescent="0.3">
      <c r="A43" s="11">
        <v>42</v>
      </c>
      <c r="B43" s="12" t="s">
        <v>15</v>
      </c>
      <c r="C43" s="12" t="s">
        <v>20</v>
      </c>
      <c r="D43" s="19">
        <v>45253.083333333343</v>
      </c>
      <c r="E43" s="12">
        <v>4929</v>
      </c>
      <c r="F43" s="12">
        <v>252</v>
      </c>
      <c r="G43" s="12">
        <v>730</v>
      </c>
      <c r="H43" s="12" t="s">
        <v>10</v>
      </c>
      <c r="I43" s="13" t="s">
        <v>18</v>
      </c>
    </row>
    <row r="44" spans="1:9" x14ac:dyDescent="0.3">
      <c r="A44" s="8">
        <v>43</v>
      </c>
      <c r="B44" s="9" t="s">
        <v>19</v>
      </c>
      <c r="C44" s="9" t="s">
        <v>12</v>
      </c>
      <c r="D44" s="18">
        <v>45016.666666666657</v>
      </c>
      <c r="E44" s="9">
        <v>2586</v>
      </c>
      <c r="F44" s="9">
        <v>97</v>
      </c>
      <c r="G44" s="9">
        <v>85</v>
      </c>
      <c r="H44" s="9" t="s">
        <v>21</v>
      </c>
      <c r="I44" s="10" t="s">
        <v>11</v>
      </c>
    </row>
    <row r="45" spans="1:9" x14ac:dyDescent="0.3">
      <c r="A45" s="11">
        <v>44</v>
      </c>
      <c r="B45" s="12" t="s">
        <v>15</v>
      </c>
      <c r="C45" s="12" t="s">
        <v>22</v>
      </c>
      <c r="D45" s="14">
        <v>45084.333333333343</v>
      </c>
      <c r="E45" s="12">
        <v>3259</v>
      </c>
      <c r="F45" s="12">
        <v>50</v>
      </c>
      <c r="G45" s="12">
        <v>177</v>
      </c>
      <c r="H45" s="12" t="s">
        <v>10</v>
      </c>
      <c r="I45" s="13" t="s">
        <v>18</v>
      </c>
    </row>
    <row r="46" spans="1:9" x14ac:dyDescent="0.3">
      <c r="A46" s="8">
        <v>45</v>
      </c>
      <c r="B46" s="9" t="s">
        <v>19</v>
      </c>
      <c r="C46" s="9" t="s">
        <v>20</v>
      </c>
      <c r="D46" s="15">
        <v>44938.416666666657</v>
      </c>
      <c r="E46" s="9">
        <v>2236</v>
      </c>
      <c r="F46" s="9">
        <v>132</v>
      </c>
      <c r="G46" s="9">
        <v>118</v>
      </c>
      <c r="H46" s="9" t="s">
        <v>21</v>
      </c>
      <c r="I46" s="10" t="s">
        <v>11</v>
      </c>
    </row>
    <row r="47" spans="1:9" x14ac:dyDescent="0.3">
      <c r="A47" s="11">
        <v>46</v>
      </c>
      <c r="B47" s="12" t="s">
        <v>15</v>
      </c>
      <c r="C47" s="12" t="s">
        <v>22</v>
      </c>
      <c r="D47" s="19">
        <v>45062.927083333343</v>
      </c>
      <c r="E47" s="12">
        <v>2251</v>
      </c>
      <c r="F47" s="12">
        <v>380</v>
      </c>
      <c r="G47" s="12">
        <v>427</v>
      </c>
      <c r="H47" s="12" t="s">
        <v>17</v>
      </c>
      <c r="I47" s="13" t="s">
        <v>11</v>
      </c>
    </row>
    <row r="48" spans="1:9" x14ac:dyDescent="0.3">
      <c r="A48" s="8">
        <v>47</v>
      </c>
      <c r="B48" s="9" t="s">
        <v>8</v>
      </c>
      <c r="C48" s="9" t="s">
        <v>16</v>
      </c>
      <c r="D48" s="15">
        <v>45146.739583333343</v>
      </c>
      <c r="E48" s="9">
        <v>4726</v>
      </c>
      <c r="F48" s="9">
        <v>44</v>
      </c>
      <c r="G48" s="9">
        <v>993</v>
      </c>
      <c r="H48" s="9" t="s">
        <v>17</v>
      </c>
      <c r="I48" s="10" t="s">
        <v>18</v>
      </c>
    </row>
    <row r="49" spans="1:9" x14ac:dyDescent="0.3">
      <c r="A49" s="11">
        <v>48</v>
      </c>
      <c r="B49" s="12" t="s">
        <v>8</v>
      </c>
      <c r="C49" s="12" t="s">
        <v>20</v>
      </c>
      <c r="D49" s="19">
        <v>45007.135416666657</v>
      </c>
      <c r="E49" s="12">
        <v>5000</v>
      </c>
      <c r="F49" s="12">
        <v>232</v>
      </c>
      <c r="G49" s="12">
        <v>16</v>
      </c>
      <c r="H49" s="12" t="s">
        <v>25</v>
      </c>
      <c r="I49" s="13" t="s">
        <v>18</v>
      </c>
    </row>
    <row r="50" spans="1:9" x14ac:dyDescent="0.3">
      <c r="A50" s="8">
        <v>49</v>
      </c>
      <c r="B50" s="9" t="s">
        <v>19</v>
      </c>
      <c r="C50" s="9" t="s">
        <v>9</v>
      </c>
      <c r="D50" s="18">
        <v>45033.625</v>
      </c>
      <c r="E50" s="9">
        <v>725</v>
      </c>
      <c r="F50" s="9">
        <v>169</v>
      </c>
      <c r="G50" s="9">
        <v>298</v>
      </c>
      <c r="H50" s="9" t="s">
        <v>24</v>
      </c>
      <c r="I50" s="10" t="s">
        <v>14</v>
      </c>
    </row>
    <row r="51" spans="1:9" x14ac:dyDescent="0.3">
      <c r="A51" s="11">
        <v>50</v>
      </c>
      <c r="B51" s="12" t="s">
        <v>15</v>
      </c>
      <c r="C51" s="12" t="s">
        <v>22</v>
      </c>
      <c r="D51" s="14">
        <v>45267</v>
      </c>
      <c r="E51" s="12">
        <v>1551</v>
      </c>
      <c r="F51" s="12">
        <v>206</v>
      </c>
      <c r="G51" s="12">
        <v>127</v>
      </c>
      <c r="H51" s="12" t="s">
        <v>25</v>
      </c>
      <c r="I51" s="13" t="s">
        <v>18</v>
      </c>
    </row>
    <row r="52" spans="1:9" x14ac:dyDescent="0.3">
      <c r="A52" s="8">
        <v>51</v>
      </c>
      <c r="B52" s="9" t="s">
        <v>19</v>
      </c>
      <c r="C52" s="9" t="s">
        <v>22</v>
      </c>
      <c r="D52" s="18">
        <v>44971.75</v>
      </c>
      <c r="E52" s="9">
        <v>1268</v>
      </c>
      <c r="F52" s="9">
        <v>73</v>
      </c>
      <c r="G52" s="9">
        <v>251</v>
      </c>
      <c r="H52" s="9" t="s">
        <v>17</v>
      </c>
      <c r="I52" s="10" t="s">
        <v>11</v>
      </c>
    </row>
    <row r="53" spans="1:9" x14ac:dyDescent="0.3">
      <c r="A53" s="11">
        <v>52</v>
      </c>
      <c r="B53" s="12" t="s">
        <v>19</v>
      </c>
      <c r="C53" s="12" t="s">
        <v>9</v>
      </c>
      <c r="D53" s="19">
        <v>45121.625</v>
      </c>
      <c r="E53" s="12">
        <v>950</v>
      </c>
      <c r="F53" s="12">
        <v>113</v>
      </c>
      <c r="G53" s="12">
        <v>327</v>
      </c>
      <c r="H53" s="12" t="s">
        <v>21</v>
      </c>
      <c r="I53" s="13" t="s">
        <v>11</v>
      </c>
    </row>
    <row r="54" spans="1:9" x14ac:dyDescent="0.3">
      <c r="A54" s="8">
        <v>53</v>
      </c>
      <c r="B54" s="9" t="s">
        <v>19</v>
      </c>
      <c r="C54" s="9" t="s">
        <v>20</v>
      </c>
      <c r="D54" s="15">
        <v>45271.729166666657</v>
      </c>
      <c r="E54" s="9">
        <v>1498</v>
      </c>
      <c r="F54" s="9">
        <v>46</v>
      </c>
      <c r="G54" s="9">
        <v>96</v>
      </c>
      <c r="H54" s="9" t="s">
        <v>13</v>
      </c>
      <c r="I54" s="10" t="s">
        <v>11</v>
      </c>
    </row>
    <row r="55" spans="1:9" x14ac:dyDescent="0.3">
      <c r="A55" s="11">
        <v>54</v>
      </c>
      <c r="B55" s="12" t="s">
        <v>15</v>
      </c>
      <c r="C55" s="12" t="s">
        <v>9</v>
      </c>
      <c r="D55" s="19">
        <v>44947.041666666657</v>
      </c>
      <c r="E55" s="12">
        <v>4297</v>
      </c>
      <c r="F55" s="12">
        <v>360</v>
      </c>
      <c r="G55" s="12">
        <v>825</v>
      </c>
      <c r="H55" s="12" t="s">
        <v>23</v>
      </c>
      <c r="I55" s="13" t="s">
        <v>18</v>
      </c>
    </row>
    <row r="56" spans="1:9" x14ac:dyDescent="0.3">
      <c r="A56" s="8">
        <v>55</v>
      </c>
      <c r="B56" s="9" t="s">
        <v>19</v>
      </c>
      <c r="C56" s="9" t="s">
        <v>12</v>
      </c>
      <c r="D56" s="15">
        <v>44967.979166666657</v>
      </c>
      <c r="E56" s="9">
        <v>592</v>
      </c>
      <c r="F56" s="9">
        <v>34</v>
      </c>
      <c r="G56" s="9">
        <v>496</v>
      </c>
      <c r="H56" s="9" t="s">
        <v>24</v>
      </c>
      <c r="I56" s="10" t="s">
        <v>14</v>
      </c>
    </row>
    <row r="57" spans="1:9" x14ac:dyDescent="0.3">
      <c r="A57" s="11">
        <v>56</v>
      </c>
      <c r="B57" s="12" t="s">
        <v>15</v>
      </c>
      <c r="C57" s="12" t="s">
        <v>9</v>
      </c>
      <c r="D57" s="19">
        <v>44998.96875</v>
      </c>
      <c r="E57" s="12">
        <v>3401</v>
      </c>
      <c r="F57" s="12">
        <v>190</v>
      </c>
      <c r="G57" s="12">
        <v>230</v>
      </c>
      <c r="H57" s="12" t="s">
        <v>24</v>
      </c>
      <c r="I57" s="13" t="s">
        <v>18</v>
      </c>
    </row>
    <row r="58" spans="1:9" x14ac:dyDescent="0.3">
      <c r="A58" s="8">
        <v>57</v>
      </c>
      <c r="B58" s="9" t="s">
        <v>15</v>
      </c>
      <c r="C58" s="9" t="s">
        <v>20</v>
      </c>
      <c r="D58" s="18">
        <v>45120.385416666657</v>
      </c>
      <c r="E58" s="9">
        <v>4846</v>
      </c>
      <c r="F58" s="9">
        <v>134</v>
      </c>
      <c r="G58" s="9">
        <v>498</v>
      </c>
      <c r="H58" s="9" t="s">
        <v>10</v>
      </c>
      <c r="I58" s="10" t="s">
        <v>14</v>
      </c>
    </row>
    <row r="59" spans="1:9" x14ac:dyDescent="0.3">
      <c r="A59" s="11">
        <v>58</v>
      </c>
      <c r="B59" s="12" t="s">
        <v>8</v>
      </c>
      <c r="C59" s="12" t="s">
        <v>20</v>
      </c>
      <c r="D59" s="19">
        <v>45287.166666666657</v>
      </c>
      <c r="E59" s="12">
        <v>2204</v>
      </c>
      <c r="F59" s="12">
        <v>116</v>
      </c>
      <c r="G59" s="12">
        <v>728</v>
      </c>
      <c r="H59" s="12" t="s">
        <v>25</v>
      </c>
      <c r="I59" s="13" t="s">
        <v>14</v>
      </c>
    </row>
    <row r="60" spans="1:9" x14ac:dyDescent="0.3">
      <c r="A60" s="8">
        <v>59</v>
      </c>
      <c r="B60" s="9" t="s">
        <v>19</v>
      </c>
      <c r="C60" s="9" t="s">
        <v>20</v>
      </c>
      <c r="D60" s="18">
        <v>45284.322916666657</v>
      </c>
      <c r="E60" s="9">
        <v>344</v>
      </c>
      <c r="F60" s="9">
        <v>99</v>
      </c>
      <c r="G60" s="9">
        <v>194</v>
      </c>
      <c r="H60" s="9" t="s">
        <v>13</v>
      </c>
      <c r="I60" s="10" t="s">
        <v>14</v>
      </c>
    </row>
    <row r="61" spans="1:9" x14ac:dyDescent="0.3">
      <c r="A61" s="11">
        <v>60</v>
      </c>
      <c r="B61" s="12" t="s">
        <v>15</v>
      </c>
      <c r="C61" s="12" t="s">
        <v>12</v>
      </c>
      <c r="D61" s="19">
        <v>45065.1875</v>
      </c>
      <c r="E61" s="12">
        <v>4763</v>
      </c>
      <c r="F61" s="12">
        <v>332</v>
      </c>
      <c r="G61" s="12">
        <v>956</v>
      </c>
      <c r="H61" s="12" t="s">
        <v>21</v>
      </c>
      <c r="I61" s="13" t="s">
        <v>11</v>
      </c>
    </row>
    <row r="62" spans="1:9" x14ac:dyDescent="0.3">
      <c r="A62" s="8">
        <v>61</v>
      </c>
      <c r="B62" s="9" t="s">
        <v>15</v>
      </c>
      <c r="C62" s="9" t="s">
        <v>20</v>
      </c>
      <c r="D62" s="18">
        <v>45291.9375</v>
      </c>
      <c r="E62" s="9">
        <v>3544</v>
      </c>
      <c r="F62" s="9">
        <v>167</v>
      </c>
      <c r="G62" s="9">
        <v>761</v>
      </c>
      <c r="H62" s="9" t="s">
        <v>13</v>
      </c>
      <c r="I62" s="10" t="s">
        <v>18</v>
      </c>
    </row>
    <row r="63" spans="1:9" x14ac:dyDescent="0.3">
      <c r="A63" s="11">
        <v>62</v>
      </c>
      <c r="B63" s="12" t="s">
        <v>8</v>
      </c>
      <c r="C63" s="12" t="s">
        <v>12</v>
      </c>
      <c r="D63" s="19">
        <v>44953.65625</v>
      </c>
      <c r="E63" s="12">
        <v>3742</v>
      </c>
      <c r="F63" s="12">
        <v>227</v>
      </c>
      <c r="G63" s="12">
        <v>849</v>
      </c>
      <c r="H63" s="12" t="s">
        <v>21</v>
      </c>
      <c r="I63" s="13" t="s">
        <v>18</v>
      </c>
    </row>
    <row r="64" spans="1:9" x14ac:dyDescent="0.3">
      <c r="A64" s="8">
        <v>63</v>
      </c>
      <c r="B64" s="9" t="s">
        <v>19</v>
      </c>
      <c r="C64" s="9" t="s">
        <v>9</v>
      </c>
      <c r="D64" s="18">
        <v>45061.270833333343</v>
      </c>
      <c r="E64" s="9">
        <v>227</v>
      </c>
      <c r="F64" s="9">
        <v>163</v>
      </c>
      <c r="G64" s="9">
        <v>127</v>
      </c>
      <c r="H64" s="9" t="s">
        <v>24</v>
      </c>
      <c r="I64" s="10" t="s">
        <v>14</v>
      </c>
    </row>
    <row r="65" spans="1:9" x14ac:dyDescent="0.3">
      <c r="A65" s="11">
        <v>64</v>
      </c>
      <c r="B65" s="12" t="s">
        <v>15</v>
      </c>
      <c r="C65" s="12" t="s">
        <v>12</v>
      </c>
      <c r="D65" s="19">
        <v>45035.822916666657</v>
      </c>
      <c r="E65" s="12">
        <v>130</v>
      </c>
      <c r="F65" s="12">
        <v>452</v>
      </c>
      <c r="G65" s="12">
        <v>724</v>
      </c>
      <c r="H65" s="12" t="s">
        <v>25</v>
      </c>
      <c r="I65" s="13" t="s">
        <v>14</v>
      </c>
    </row>
    <row r="66" spans="1:9" x14ac:dyDescent="0.3">
      <c r="A66" s="8">
        <v>65</v>
      </c>
      <c r="B66" s="9" t="s">
        <v>15</v>
      </c>
      <c r="C66" s="9" t="s">
        <v>9</v>
      </c>
      <c r="D66" s="18">
        <v>45189.25</v>
      </c>
      <c r="E66" s="9">
        <v>3982</v>
      </c>
      <c r="F66" s="9">
        <v>314</v>
      </c>
      <c r="G66" s="9">
        <v>326</v>
      </c>
      <c r="H66" s="9" t="s">
        <v>25</v>
      </c>
      <c r="I66" s="10" t="s">
        <v>11</v>
      </c>
    </row>
    <row r="67" spans="1:9" x14ac:dyDescent="0.3">
      <c r="A67" s="11">
        <v>66</v>
      </c>
      <c r="B67" s="12" t="s">
        <v>8</v>
      </c>
      <c r="C67" s="12" t="s">
        <v>22</v>
      </c>
      <c r="D67" s="14">
        <v>44986.125</v>
      </c>
      <c r="E67" s="12">
        <v>2265</v>
      </c>
      <c r="F67" s="12">
        <v>39</v>
      </c>
      <c r="G67" s="12">
        <v>318</v>
      </c>
      <c r="H67" s="12" t="s">
        <v>17</v>
      </c>
      <c r="I67" s="13" t="s">
        <v>11</v>
      </c>
    </row>
    <row r="68" spans="1:9" x14ac:dyDescent="0.3">
      <c r="A68" s="8">
        <v>67</v>
      </c>
      <c r="B68" s="9" t="s">
        <v>8</v>
      </c>
      <c r="C68" s="9" t="s">
        <v>12</v>
      </c>
      <c r="D68" s="18">
        <v>45039.34375</v>
      </c>
      <c r="E68" s="9">
        <v>2026</v>
      </c>
      <c r="F68" s="9">
        <v>390</v>
      </c>
      <c r="G68" s="9">
        <v>165</v>
      </c>
      <c r="H68" s="9" t="s">
        <v>13</v>
      </c>
      <c r="I68" s="10" t="s">
        <v>18</v>
      </c>
    </row>
    <row r="69" spans="1:9" x14ac:dyDescent="0.3">
      <c r="A69" s="11">
        <v>68</v>
      </c>
      <c r="B69" s="12" t="s">
        <v>15</v>
      </c>
      <c r="C69" s="12" t="s">
        <v>20</v>
      </c>
      <c r="D69" s="19">
        <v>45288.697916666657</v>
      </c>
      <c r="E69" s="12">
        <v>560</v>
      </c>
      <c r="F69" s="12">
        <v>486</v>
      </c>
      <c r="G69" s="12">
        <v>677</v>
      </c>
      <c r="H69" s="12" t="s">
        <v>10</v>
      </c>
      <c r="I69" s="13" t="s">
        <v>18</v>
      </c>
    </row>
    <row r="70" spans="1:9" x14ac:dyDescent="0.3">
      <c r="A70" s="8">
        <v>69</v>
      </c>
      <c r="B70" s="9" t="s">
        <v>19</v>
      </c>
      <c r="C70" s="9" t="s">
        <v>9</v>
      </c>
      <c r="D70" s="18">
        <v>45213.78125</v>
      </c>
      <c r="E70" s="9">
        <v>187</v>
      </c>
      <c r="F70" s="9">
        <v>89</v>
      </c>
      <c r="G70" s="9">
        <v>284</v>
      </c>
      <c r="H70" s="9" t="s">
        <v>23</v>
      </c>
      <c r="I70" s="10" t="s">
        <v>14</v>
      </c>
    </row>
    <row r="71" spans="1:9" x14ac:dyDescent="0.3">
      <c r="A71" s="11">
        <v>70</v>
      </c>
      <c r="B71" s="12" t="s">
        <v>8</v>
      </c>
      <c r="C71" s="12" t="s">
        <v>22</v>
      </c>
      <c r="D71" s="14">
        <v>45266.395833333343</v>
      </c>
      <c r="E71" s="12">
        <v>3094</v>
      </c>
      <c r="F71" s="12">
        <v>86</v>
      </c>
      <c r="G71" s="12">
        <v>965</v>
      </c>
      <c r="H71" s="12" t="s">
        <v>24</v>
      </c>
      <c r="I71" s="13" t="s">
        <v>18</v>
      </c>
    </row>
    <row r="72" spans="1:9" x14ac:dyDescent="0.3">
      <c r="A72" s="8">
        <v>71</v>
      </c>
      <c r="B72" s="9" t="s">
        <v>15</v>
      </c>
      <c r="C72" s="9" t="s">
        <v>20</v>
      </c>
      <c r="D72" s="15">
        <v>45203</v>
      </c>
      <c r="E72" s="9">
        <v>3398</v>
      </c>
      <c r="F72" s="9">
        <v>261</v>
      </c>
      <c r="G72" s="9">
        <v>630</v>
      </c>
      <c r="H72" s="9" t="s">
        <v>24</v>
      </c>
      <c r="I72" s="10" t="s">
        <v>14</v>
      </c>
    </row>
    <row r="73" spans="1:9" x14ac:dyDescent="0.3">
      <c r="A73" s="11">
        <v>72</v>
      </c>
      <c r="B73" s="12" t="s">
        <v>8</v>
      </c>
      <c r="C73" s="12" t="s">
        <v>12</v>
      </c>
      <c r="D73" s="14">
        <v>45051.697916666657</v>
      </c>
      <c r="E73" s="12">
        <v>1690</v>
      </c>
      <c r="F73" s="12">
        <v>257</v>
      </c>
      <c r="G73" s="12">
        <v>656</v>
      </c>
      <c r="H73" s="12" t="s">
        <v>21</v>
      </c>
      <c r="I73" s="13" t="s">
        <v>14</v>
      </c>
    </row>
    <row r="74" spans="1:9" x14ac:dyDescent="0.3">
      <c r="A74" s="8">
        <v>73</v>
      </c>
      <c r="B74" s="9" t="s">
        <v>8</v>
      </c>
      <c r="C74" s="9" t="s">
        <v>22</v>
      </c>
      <c r="D74" s="18">
        <v>45125.916666666657</v>
      </c>
      <c r="E74" s="9">
        <v>3026</v>
      </c>
      <c r="F74" s="9">
        <v>11</v>
      </c>
      <c r="G74" s="9">
        <v>761</v>
      </c>
      <c r="H74" s="9" t="s">
        <v>17</v>
      </c>
      <c r="I74" s="10" t="s">
        <v>11</v>
      </c>
    </row>
    <row r="75" spans="1:9" x14ac:dyDescent="0.3">
      <c r="A75" s="11">
        <v>74</v>
      </c>
      <c r="B75" s="12" t="s">
        <v>15</v>
      </c>
      <c r="C75" s="12" t="s">
        <v>20</v>
      </c>
      <c r="D75" s="19">
        <v>45030.4375</v>
      </c>
      <c r="E75" s="12">
        <v>5000</v>
      </c>
      <c r="F75" s="12">
        <v>454</v>
      </c>
      <c r="G75" s="12">
        <v>744</v>
      </c>
      <c r="H75" s="12" t="s">
        <v>21</v>
      </c>
      <c r="I75" s="13" t="s">
        <v>11</v>
      </c>
    </row>
    <row r="76" spans="1:9" x14ac:dyDescent="0.3">
      <c r="A76" s="8">
        <v>75</v>
      </c>
      <c r="B76" s="9" t="s">
        <v>8</v>
      </c>
      <c r="C76" s="9" t="s">
        <v>20</v>
      </c>
      <c r="D76" s="18">
        <v>45133.84375</v>
      </c>
      <c r="E76" s="9">
        <v>5000</v>
      </c>
      <c r="F76" s="9">
        <v>500</v>
      </c>
      <c r="G76" s="9">
        <v>404</v>
      </c>
      <c r="H76" s="9" t="s">
        <v>25</v>
      </c>
      <c r="I76" s="10" t="s">
        <v>11</v>
      </c>
    </row>
    <row r="77" spans="1:9" x14ac:dyDescent="0.3">
      <c r="A77" s="11">
        <v>76</v>
      </c>
      <c r="B77" s="12" t="s">
        <v>15</v>
      </c>
      <c r="C77" s="12" t="s">
        <v>22</v>
      </c>
      <c r="D77" s="19">
        <v>45134.802083333343</v>
      </c>
      <c r="E77" s="12">
        <v>2153</v>
      </c>
      <c r="F77" s="12">
        <v>81</v>
      </c>
      <c r="G77" s="12">
        <v>114</v>
      </c>
      <c r="H77" s="12" t="s">
        <v>10</v>
      </c>
      <c r="I77" s="13" t="s">
        <v>14</v>
      </c>
    </row>
    <row r="78" spans="1:9" x14ac:dyDescent="0.3">
      <c r="A78" s="8">
        <v>77</v>
      </c>
      <c r="B78" s="9" t="s">
        <v>19</v>
      </c>
      <c r="C78" s="9" t="s">
        <v>12</v>
      </c>
      <c r="D78" s="15">
        <v>45053.760416666657</v>
      </c>
      <c r="E78" s="9">
        <v>3571</v>
      </c>
      <c r="F78" s="9">
        <v>102</v>
      </c>
      <c r="G78" s="9">
        <v>96</v>
      </c>
      <c r="H78" s="9" t="s">
        <v>25</v>
      </c>
      <c r="I78" s="10" t="s">
        <v>11</v>
      </c>
    </row>
    <row r="79" spans="1:9" x14ac:dyDescent="0.3">
      <c r="A79" s="11">
        <v>78</v>
      </c>
      <c r="B79" s="12" t="s">
        <v>15</v>
      </c>
      <c r="C79" s="12" t="s">
        <v>16</v>
      </c>
      <c r="D79" s="19">
        <v>44945.302083333343</v>
      </c>
      <c r="E79" s="12">
        <v>2990</v>
      </c>
      <c r="F79" s="12">
        <v>30</v>
      </c>
      <c r="G79" s="12">
        <v>365</v>
      </c>
      <c r="H79" s="12" t="s">
        <v>10</v>
      </c>
      <c r="I79" s="13" t="s">
        <v>11</v>
      </c>
    </row>
    <row r="80" spans="1:9" x14ac:dyDescent="0.3">
      <c r="A80" s="8">
        <v>79</v>
      </c>
      <c r="B80" s="9" t="s">
        <v>15</v>
      </c>
      <c r="C80" s="9" t="s">
        <v>12</v>
      </c>
      <c r="D80" s="18">
        <v>45273.197916666657</v>
      </c>
      <c r="E80" s="9">
        <v>4678</v>
      </c>
      <c r="F80" s="9">
        <v>189</v>
      </c>
      <c r="G80" s="9">
        <v>785</v>
      </c>
      <c r="H80" s="9" t="s">
        <v>25</v>
      </c>
      <c r="I80" s="10" t="s">
        <v>11</v>
      </c>
    </row>
    <row r="81" spans="1:9" x14ac:dyDescent="0.3">
      <c r="A81" s="11">
        <v>80</v>
      </c>
      <c r="B81" s="12" t="s">
        <v>8</v>
      </c>
      <c r="C81" s="12" t="s">
        <v>22</v>
      </c>
      <c r="D81" s="19">
        <v>45102.635416666657</v>
      </c>
      <c r="E81" s="12">
        <v>553</v>
      </c>
      <c r="F81" s="12">
        <v>320</v>
      </c>
      <c r="G81" s="12">
        <v>312</v>
      </c>
      <c r="H81" s="12" t="s">
        <v>13</v>
      </c>
      <c r="I81" s="13" t="s">
        <v>11</v>
      </c>
    </row>
    <row r="82" spans="1:9" x14ac:dyDescent="0.3">
      <c r="A82" s="8">
        <v>81</v>
      </c>
      <c r="B82" s="9" t="s">
        <v>8</v>
      </c>
      <c r="C82" s="9" t="s">
        <v>20</v>
      </c>
      <c r="D82" s="15">
        <v>45017.770833333343</v>
      </c>
      <c r="E82" s="9">
        <v>2642</v>
      </c>
      <c r="F82" s="9">
        <v>33</v>
      </c>
      <c r="G82" s="9">
        <v>413</v>
      </c>
      <c r="H82" s="9" t="s">
        <v>25</v>
      </c>
      <c r="I82" s="10" t="s">
        <v>14</v>
      </c>
    </row>
    <row r="83" spans="1:9" x14ac:dyDescent="0.3">
      <c r="A83" s="11">
        <v>82</v>
      </c>
      <c r="B83" s="12" t="s">
        <v>15</v>
      </c>
      <c r="C83" s="12" t="s">
        <v>12</v>
      </c>
      <c r="D83" s="19">
        <v>45249.520833333343</v>
      </c>
      <c r="E83" s="12">
        <v>4656</v>
      </c>
      <c r="F83" s="12">
        <v>314</v>
      </c>
      <c r="G83" s="12">
        <v>757</v>
      </c>
      <c r="H83" s="12" t="s">
        <v>13</v>
      </c>
      <c r="I83" s="13" t="s">
        <v>18</v>
      </c>
    </row>
    <row r="84" spans="1:9" x14ac:dyDescent="0.3">
      <c r="A84" s="8">
        <v>83</v>
      </c>
      <c r="B84" s="9" t="s">
        <v>15</v>
      </c>
      <c r="C84" s="9" t="s">
        <v>20</v>
      </c>
      <c r="D84" s="15">
        <v>45089.166666666657</v>
      </c>
      <c r="E84" s="9">
        <v>5000</v>
      </c>
      <c r="F84" s="9">
        <v>173</v>
      </c>
      <c r="G84" s="9">
        <v>792</v>
      </c>
      <c r="H84" s="9" t="s">
        <v>25</v>
      </c>
      <c r="I84" s="10" t="s">
        <v>18</v>
      </c>
    </row>
    <row r="85" spans="1:9" x14ac:dyDescent="0.3">
      <c r="A85" s="11">
        <v>84</v>
      </c>
      <c r="B85" s="12" t="s">
        <v>8</v>
      </c>
      <c r="C85" s="12" t="s">
        <v>12</v>
      </c>
      <c r="D85" s="14">
        <v>44995.791666666657</v>
      </c>
      <c r="E85" s="12">
        <v>1203</v>
      </c>
      <c r="F85" s="12">
        <v>263</v>
      </c>
      <c r="G85" s="12">
        <v>417</v>
      </c>
      <c r="H85" s="12" t="s">
        <v>17</v>
      </c>
      <c r="I85" s="13" t="s">
        <v>18</v>
      </c>
    </row>
    <row r="86" spans="1:9" x14ac:dyDescent="0.3">
      <c r="A86" s="8">
        <v>85</v>
      </c>
      <c r="B86" s="9" t="s">
        <v>8</v>
      </c>
      <c r="C86" s="9" t="s">
        <v>22</v>
      </c>
      <c r="D86" s="15">
        <v>45084.291666666657</v>
      </c>
      <c r="E86" s="9">
        <v>2566</v>
      </c>
      <c r="F86" s="9">
        <v>368</v>
      </c>
      <c r="G86" s="9">
        <v>304</v>
      </c>
      <c r="H86" s="9" t="s">
        <v>10</v>
      </c>
      <c r="I86" s="10" t="s">
        <v>14</v>
      </c>
    </row>
    <row r="87" spans="1:9" x14ac:dyDescent="0.3">
      <c r="A87" s="11">
        <v>86</v>
      </c>
      <c r="B87" s="12" t="s">
        <v>19</v>
      </c>
      <c r="C87" s="12" t="s">
        <v>22</v>
      </c>
      <c r="D87" s="19">
        <v>45255.3125</v>
      </c>
      <c r="E87" s="12">
        <v>2416</v>
      </c>
      <c r="F87" s="12">
        <v>50</v>
      </c>
      <c r="G87" s="12">
        <v>62</v>
      </c>
      <c r="H87" s="12" t="s">
        <v>23</v>
      </c>
      <c r="I87" s="13" t="s">
        <v>11</v>
      </c>
    </row>
    <row r="88" spans="1:9" x14ac:dyDescent="0.3">
      <c r="A88" s="8">
        <v>87</v>
      </c>
      <c r="B88" s="9" t="s">
        <v>15</v>
      </c>
      <c r="C88" s="9" t="s">
        <v>22</v>
      </c>
      <c r="D88" s="18">
        <v>45069.9375</v>
      </c>
      <c r="E88" s="9">
        <v>15</v>
      </c>
      <c r="F88" s="9">
        <v>70</v>
      </c>
      <c r="G88" s="9">
        <v>454</v>
      </c>
      <c r="H88" s="9" t="s">
        <v>17</v>
      </c>
      <c r="I88" s="10" t="s">
        <v>14</v>
      </c>
    </row>
    <row r="89" spans="1:9" x14ac:dyDescent="0.3">
      <c r="A89" s="11">
        <v>88</v>
      </c>
      <c r="B89" s="12" t="s">
        <v>8</v>
      </c>
      <c r="C89" s="12" t="s">
        <v>22</v>
      </c>
      <c r="D89" s="14">
        <v>44990.520833333343</v>
      </c>
      <c r="E89" s="12">
        <v>3404</v>
      </c>
      <c r="F89" s="12">
        <v>244</v>
      </c>
      <c r="G89" s="12">
        <v>67</v>
      </c>
      <c r="H89" s="12" t="s">
        <v>25</v>
      </c>
      <c r="I89" s="13" t="s">
        <v>11</v>
      </c>
    </row>
    <row r="90" spans="1:9" x14ac:dyDescent="0.3">
      <c r="A90" s="8">
        <v>89</v>
      </c>
      <c r="B90" s="9" t="s">
        <v>19</v>
      </c>
      <c r="C90" s="9" t="s">
        <v>12</v>
      </c>
      <c r="D90" s="15">
        <v>44990.333333333343</v>
      </c>
      <c r="E90" s="9">
        <v>2884</v>
      </c>
      <c r="F90" s="9">
        <v>197</v>
      </c>
      <c r="G90" s="9">
        <v>339</v>
      </c>
      <c r="H90" s="9" t="s">
        <v>25</v>
      </c>
      <c r="I90" s="10" t="s">
        <v>11</v>
      </c>
    </row>
    <row r="91" spans="1:9" x14ac:dyDescent="0.3">
      <c r="A91" s="11">
        <v>90</v>
      </c>
      <c r="B91" s="12" t="s">
        <v>15</v>
      </c>
      <c r="C91" s="12" t="s">
        <v>16</v>
      </c>
      <c r="D91" s="19">
        <v>45004.166666666657</v>
      </c>
      <c r="E91" s="12">
        <v>3195</v>
      </c>
      <c r="F91" s="12">
        <v>109</v>
      </c>
      <c r="G91" s="12">
        <v>243</v>
      </c>
      <c r="H91" s="12" t="s">
        <v>13</v>
      </c>
      <c r="I91" s="13" t="s">
        <v>18</v>
      </c>
    </row>
    <row r="92" spans="1:9" x14ac:dyDescent="0.3">
      <c r="A92" s="8">
        <v>91</v>
      </c>
      <c r="B92" s="9" t="s">
        <v>8</v>
      </c>
      <c r="C92" s="9" t="s">
        <v>12</v>
      </c>
      <c r="D92" s="18">
        <v>45184.03125</v>
      </c>
      <c r="E92" s="9">
        <v>3956</v>
      </c>
      <c r="F92" s="9">
        <v>402</v>
      </c>
      <c r="G92" s="9">
        <v>462</v>
      </c>
      <c r="H92" s="9" t="s">
        <v>21</v>
      </c>
      <c r="I92" s="10" t="s">
        <v>18</v>
      </c>
    </row>
    <row r="93" spans="1:9" x14ac:dyDescent="0.3">
      <c r="A93" s="11">
        <v>92</v>
      </c>
      <c r="B93" s="12" t="s">
        <v>8</v>
      </c>
      <c r="C93" s="12" t="s">
        <v>20</v>
      </c>
      <c r="D93" s="19">
        <v>44980.71875</v>
      </c>
      <c r="E93" s="12">
        <v>1857</v>
      </c>
      <c r="F93" s="12">
        <v>216</v>
      </c>
      <c r="G93" s="12">
        <v>344</v>
      </c>
      <c r="H93" s="12" t="s">
        <v>10</v>
      </c>
      <c r="I93" s="13" t="s">
        <v>11</v>
      </c>
    </row>
    <row r="94" spans="1:9" x14ac:dyDescent="0.3">
      <c r="A94" s="8">
        <v>93</v>
      </c>
      <c r="B94" s="9" t="s">
        <v>15</v>
      </c>
      <c r="C94" s="9" t="s">
        <v>12</v>
      </c>
      <c r="D94" s="15">
        <v>45112.020833333343</v>
      </c>
      <c r="E94" s="9">
        <v>951</v>
      </c>
      <c r="F94" s="9">
        <v>432</v>
      </c>
      <c r="G94" s="9">
        <v>734</v>
      </c>
      <c r="H94" s="9" t="s">
        <v>13</v>
      </c>
      <c r="I94" s="10" t="s">
        <v>18</v>
      </c>
    </row>
    <row r="95" spans="1:9" x14ac:dyDescent="0.3">
      <c r="A95" s="11">
        <v>94</v>
      </c>
      <c r="B95" s="12" t="s">
        <v>8</v>
      </c>
      <c r="C95" s="12" t="s">
        <v>9</v>
      </c>
      <c r="D95" s="19">
        <v>45257.1875</v>
      </c>
      <c r="E95" s="12">
        <v>1694</v>
      </c>
      <c r="F95" s="12">
        <v>207</v>
      </c>
      <c r="G95" s="12">
        <v>290</v>
      </c>
      <c r="H95" s="12" t="s">
        <v>24</v>
      </c>
      <c r="I95" s="13" t="s">
        <v>11</v>
      </c>
    </row>
    <row r="96" spans="1:9" x14ac:dyDescent="0.3">
      <c r="A96" s="8">
        <v>95</v>
      </c>
      <c r="B96" s="9" t="s">
        <v>15</v>
      </c>
      <c r="C96" s="9" t="s">
        <v>16</v>
      </c>
      <c r="D96" s="15">
        <v>45110.802083333343</v>
      </c>
      <c r="E96" s="9">
        <v>3005</v>
      </c>
      <c r="F96" s="9">
        <v>124</v>
      </c>
      <c r="G96" s="9">
        <v>517</v>
      </c>
      <c r="H96" s="9" t="s">
        <v>17</v>
      </c>
      <c r="I96" s="10" t="s">
        <v>11</v>
      </c>
    </row>
    <row r="97" spans="1:9" x14ac:dyDescent="0.3">
      <c r="A97" s="11">
        <v>96</v>
      </c>
      <c r="B97" s="12" t="s">
        <v>15</v>
      </c>
      <c r="C97" s="12" t="s">
        <v>12</v>
      </c>
      <c r="D97" s="14">
        <v>45267.739583333343</v>
      </c>
      <c r="E97" s="12">
        <v>36</v>
      </c>
      <c r="F97" s="12">
        <v>294</v>
      </c>
      <c r="G97" s="12">
        <v>911</v>
      </c>
      <c r="H97" s="12" t="s">
        <v>25</v>
      </c>
      <c r="I97" s="13" t="s">
        <v>11</v>
      </c>
    </row>
    <row r="98" spans="1:9" x14ac:dyDescent="0.3">
      <c r="A98" s="8">
        <v>97</v>
      </c>
      <c r="B98" s="9" t="s">
        <v>19</v>
      </c>
      <c r="C98" s="9" t="s">
        <v>20</v>
      </c>
      <c r="D98" s="18">
        <v>45226.989583333343</v>
      </c>
      <c r="E98" s="9">
        <v>314</v>
      </c>
      <c r="F98" s="9">
        <v>108</v>
      </c>
      <c r="G98" s="9">
        <v>458</v>
      </c>
      <c r="H98" s="9" t="s">
        <v>21</v>
      </c>
      <c r="I98" s="10" t="s">
        <v>14</v>
      </c>
    </row>
    <row r="99" spans="1:9" x14ac:dyDescent="0.3">
      <c r="A99" s="11">
        <v>98</v>
      </c>
      <c r="B99" s="12" t="s">
        <v>19</v>
      </c>
      <c r="C99" s="12" t="s">
        <v>22</v>
      </c>
      <c r="D99" s="14">
        <v>45054.364583333343</v>
      </c>
      <c r="E99" s="12">
        <v>229</v>
      </c>
      <c r="F99" s="12">
        <v>179</v>
      </c>
      <c r="G99" s="12">
        <v>38</v>
      </c>
      <c r="H99" s="12" t="s">
        <v>23</v>
      </c>
      <c r="I99" s="13" t="s">
        <v>11</v>
      </c>
    </row>
    <row r="100" spans="1:9" x14ac:dyDescent="0.3">
      <c r="A100" s="8">
        <v>99</v>
      </c>
      <c r="B100" s="9" t="s">
        <v>15</v>
      </c>
      <c r="C100" s="9" t="s">
        <v>16</v>
      </c>
      <c r="D100" s="18">
        <v>45289.510416666657</v>
      </c>
      <c r="E100" s="9">
        <v>5000</v>
      </c>
      <c r="F100" s="9">
        <v>500</v>
      </c>
      <c r="G100" s="9">
        <v>204</v>
      </c>
      <c r="H100" s="9" t="s">
        <v>21</v>
      </c>
      <c r="I100" s="10" t="s">
        <v>11</v>
      </c>
    </row>
    <row r="101" spans="1:9" x14ac:dyDescent="0.3">
      <c r="A101" s="2">
        <v>100</v>
      </c>
      <c r="B101" s="3" t="s">
        <v>15</v>
      </c>
      <c r="C101" s="3" t="s">
        <v>9</v>
      </c>
      <c r="D101" s="16">
        <v>45083.875</v>
      </c>
      <c r="E101" s="3">
        <v>4483</v>
      </c>
      <c r="F101" s="3">
        <v>357</v>
      </c>
      <c r="G101" s="3">
        <v>25</v>
      </c>
      <c r="H101" s="3" t="s">
        <v>17</v>
      </c>
      <c r="I101" s="4"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8470D-60AB-4A81-8D7E-F22B04BE8ACA}">
  <dimension ref="B53:E53"/>
  <sheetViews>
    <sheetView showGridLines="0" showRowColHeaders="0" tabSelected="1" topLeftCell="A2" zoomScale="78" zoomScaleNormal="115" workbookViewId="0">
      <selection activeCell="Z13" sqref="Z13"/>
    </sheetView>
  </sheetViews>
  <sheetFormatPr defaultRowHeight="14.4" x14ac:dyDescent="0.3"/>
  <sheetData>
    <row r="53" spans="2:5" x14ac:dyDescent="0.3">
      <c r="B53">
        <f>COUNTA(social_media_engagement1!A2:A101)</f>
        <v>100</v>
      </c>
      <c r="C53">
        <f>SUM(social_media_engagement1!E2:E101)</f>
        <v>238181</v>
      </c>
      <c r="D53">
        <f>SUM(social_media_engagement1!F2:F101)</f>
        <v>20266</v>
      </c>
      <c r="E53">
        <f>SUM(social_media_engagement1!G2:G101)</f>
        <v>41565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2B2C3-5886-4813-BBBF-F10D949F3754}">
  <dimension ref="A3:H18"/>
  <sheetViews>
    <sheetView workbookViewId="0">
      <selection activeCell="E30" sqref="E30"/>
    </sheetView>
  </sheetViews>
  <sheetFormatPr defaultRowHeight="14.4" x14ac:dyDescent="0.3"/>
  <cols>
    <col min="1" max="1" width="12.5546875" bestFit="1" customWidth="1"/>
    <col min="2" max="2" width="16.44140625" bestFit="1" customWidth="1"/>
    <col min="4" max="4" width="12.5546875" bestFit="1" customWidth="1"/>
    <col min="5" max="5" width="15.109375" bestFit="1" customWidth="1"/>
    <col min="7" max="7" width="12.5546875" bestFit="1" customWidth="1"/>
    <col min="8" max="8" width="15.109375" bestFit="1" customWidth="1"/>
  </cols>
  <sheetData>
    <row r="3" spans="1:8" x14ac:dyDescent="0.3">
      <c r="A3" s="20" t="s">
        <v>26</v>
      </c>
      <c r="B3" t="s">
        <v>28</v>
      </c>
      <c r="D3" s="20" t="s">
        <v>26</v>
      </c>
      <c r="E3" t="s">
        <v>30</v>
      </c>
      <c r="G3" s="20" t="s">
        <v>26</v>
      </c>
      <c r="H3" t="s">
        <v>31</v>
      </c>
    </row>
    <row r="4" spans="1:8" x14ac:dyDescent="0.3">
      <c r="A4" s="21" t="s">
        <v>8</v>
      </c>
      <c r="B4" s="22">
        <v>86392</v>
      </c>
      <c r="D4" s="21" t="s">
        <v>8</v>
      </c>
      <c r="E4" s="22">
        <v>15180</v>
      </c>
      <c r="G4" s="21" t="s">
        <v>18</v>
      </c>
      <c r="H4" s="22">
        <v>27</v>
      </c>
    </row>
    <row r="5" spans="1:8" x14ac:dyDescent="0.3">
      <c r="A5" s="21" t="s">
        <v>15</v>
      </c>
      <c r="B5" s="22">
        <v>107994</v>
      </c>
      <c r="D5" s="21" t="s">
        <v>15</v>
      </c>
      <c r="E5" s="22">
        <v>18906</v>
      </c>
      <c r="G5" s="21" t="s">
        <v>14</v>
      </c>
      <c r="H5" s="22">
        <v>27</v>
      </c>
    </row>
    <row r="6" spans="1:8" x14ac:dyDescent="0.3">
      <c r="A6" s="21" t="s">
        <v>19</v>
      </c>
      <c r="B6" s="22">
        <v>43795</v>
      </c>
      <c r="D6" s="21" t="s">
        <v>19</v>
      </c>
      <c r="E6" s="22">
        <v>7479</v>
      </c>
      <c r="G6" s="21" t="s">
        <v>11</v>
      </c>
      <c r="H6" s="22">
        <v>46</v>
      </c>
    </row>
    <row r="7" spans="1:8" x14ac:dyDescent="0.3">
      <c r="A7" s="21" t="s">
        <v>27</v>
      </c>
      <c r="B7" s="22">
        <v>238181</v>
      </c>
      <c r="D7" s="21" t="s">
        <v>27</v>
      </c>
      <c r="E7" s="22">
        <v>41565</v>
      </c>
      <c r="G7" s="21" t="s">
        <v>27</v>
      </c>
      <c r="H7" s="22">
        <v>100</v>
      </c>
    </row>
    <row r="10" spans="1:8" x14ac:dyDescent="0.3">
      <c r="A10" s="20" t="s">
        <v>26</v>
      </c>
      <c r="B10" t="s">
        <v>29</v>
      </c>
      <c r="D10" s="20" t="s">
        <v>26</v>
      </c>
      <c r="E10" t="s">
        <v>31</v>
      </c>
      <c r="G10" s="20" t="s">
        <v>26</v>
      </c>
      <c r="H10" t="s">
        <v>31</v>
      </c>
    </row>
    <row r="11" spans="1:8" x14ac:dyDescent="0.3">
      <c r="A11" s="21" t="s">
        <v>8</v>
      </c>
      <c r="B11" s="22">
        <v>7965</v>
      </c>
      <c r="D11" s="21" t="s">
        <v>12</v>
      </c>
      <c r="E11" s="22">
        <v>26</v>
      </c>
      <c r="G11" s="21" t="s">
        <v>13</v>
      </c>
      <c r="H11" s="22">
        <v>14</v>
      </c>
    </row>
    <row r="12" spans="1:8" x14ac:dyDescent="0.3">
      <c r="A12" s="21" t="s">
        <v>15</v>
      </c>
      <c r="B12" s="22">
        <v>8368</v>
      </c>
      <c r="D12" s="21" t="s">
        <v>9</v>
      </c>
      <c r="E12" s="22">
        <v>17</v>
      </c>
      <c r="G12" s="21" t="s">
        <v>24</v>
      </c>
      <c r="H12" s="22">
        <v>11</v>
      </c>
    </row>
    <row r="13" spans="1:8" x14ac:dyDescent="0.3">
      <c r="A13" s="21" t="s">
        <v>19</v>
      </c>
      <c r="B13" s="22">
        <v>3933</v>
      </c>
      <c r="D13" s="21" t="s">
        <v>16</v>
      </c>
      <c r="E13" s="22">
        <v>13</v>
      </c>
      <c r="G13" s="21" t="s">
        <v>17</v>
      </c>
      <c r="H13" s="22">
        <v>15</v>
      </c>
    </row>
    <row r="14" spans="1:8" x14ac:dyDescent="0.3">
      <c r="A14" s="21" t="s">
        <v>27</v>
      </c>
      <c r="B14" s="22">
        <v>20266</v>
      </c>
      <c r="D14" s="21" t="s">
        <v>22</v>
      </c>
      <c r="E14" s="22">
        <v>21</v>
      </c>
      <c r="G14" s="21" t="s">
        <v>25</v>
      </c>
      <c r="H14" s="22">
        <v>18</v>
      </c>
    </row>
    <row r="15" spans="1:8" x14ac:dyDescent="0.3">
      <c r="D15" s="21" t="s">
        <v>20</v>
      </c>
      <c r="E15" s="22">
        <v>23</v>
      </c>
      <c r="G15" s="21" t="s">
        <v>10</v>
      </c>
      <c r="H15" s="22">
        <v>16</v>
      </c>
    </row>
    <row r="16" spans="1:8" x14ac:dyDescent="0.3">
      <c r="D16" s="21" t="s">
        <v>27</v>
      </c>
      <c r="E16" s="22">
        <v>100</v>
      </c>
      <c r="G16" s="21" t="s">
        <v>21</v>
      </c>
      <c r="H16" s="22">
        <v>16</v>
      </c>
    </row>
    <row r="17" spans="7:8" x14ac:dyDescent="0.3">
      <c r="G17" s="21" t="s">
        <v>23</v>
      </c>
      <c r="H17" s="22">
        <v>10</v>
      </c>
    </row>
    <row r="18" spans="7:8" x14ac:dyDescent="0.3">
      <c r="G18" s="21" t="s">
        <v>27</v>
      </c>
      <c r="H18" s="22">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social_media_engagement1</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dc:creator>
  <cp:lastModifiedBy>Nikhil Khairnar</cp:lastModifiedBy>
  <dcterms:created xsi:type="dcterms:W3CDTF">2026-07-25T13:36:44Z</dcterms:created>
  <dcterms:modified xsi:type="dcterms:W3CDTF">2026-07-31T07:45:33Z</dcterms:modified>
</cp:coreProperties>
</file>